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c596fea8b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ntes" sheetId="1" r:id="Rd0b654f7585a44b7"/>
    <x:sheet xmlns:r="http://schemas.openxmlformats.org/officeDocument/2006/relationships" name="Resumen_estadistico" sheetId="2" r:id="Rdeb12c24a0a4485b"/>
    <x:sheet xmlns:r="http://schemas.openxmlformats.org/officeDocument/2006/relationships" name="Control_faltantes" sheetId="3" r:id="R78ff6c2942014372"/>
    <x:sheet xmlns:r="http://schemas.openxmlformats.org/officeDocument/2006/relationships" name="Indicadores" sheetId="4" r:id="Rec124792f5004b00"/>
    <x:sheet xmlns:r="http://schemas.openxmlformats.org/officeDocument/2006/relationships" name="Regimen_P" sheetId="5" r:id="R6c608fcb51d149fa"/>
    <x:sheet xmlns:r="http://schemas.openxmlformats.org/officeDocument/2006/relationships" name="Regimen_T" sheetId="6" r:id="Ree328cb086a34163"/>
    <x:sheet xmlns:r="http://schemas.openxmlformats.org/officeDocument/2006/relationships" name="Regimen_HR" sheetId="7" r:id="R4fefe8ebff86447c"/>
    <x:sheet xmlns:r="http://schemas.openxmlformats.org/officeDocument/2006/relationships" name="Climatologia" sheetId="8" r:id="R8dd7f130969f4620"/>
    <x:sheet xmlns:r="http://schemas.openxmlformats.org/officeDocument/2006/relationships" name="P_estaciones_regimen" sheetId="9" r:id="Rfb0446b1aaf24f4a"/>
    <x:sheet xmlns:r="http://schemas.openxmlformats.org/officeDocument/2006/relationships" name="Metodologia" sheetId="10" r:id="R3834ab78418949b2"/>
    <x:sheet xmlns:r="http://schemas.openxmlformats.org/officeDocument/2006/relationships" name="Validacion_formulas" sheetId="11" r:id="Rd276f03494c3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664D03"/>
      <x:name val="Carlito"/>
    </x:font>
    <x:font>
      <x:b/>
      <x:sz val="11"/>
      <x:color rgb="FF0B3D36"/>
      <x:name val="Carlito"/>
    </x:font>
    <x:font>
      <x:b/>
      <x:sz val="11"/>
      <x:color rgb="FF664D0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6C5C"/>
      </x:patternFill>
    </x:fill>
    <x:fill>
      <x:patternFill patternType="solid">
        <x:fgColor rgb="FFFFF3CD"/>
      </x:patternFill>
    </x:fill>
    <x:fill>
      <x:patternFill patternType="solid">
        <x:fgColor rgb="FFE8F3E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4b7cbb7c04256" /><Relationship Type="http://schemas.openxmlformats.org/officeDocument/2006/relationships/theme" Target="/xl/theme/theme1.xml" Id="Rdb3d59db721e4f35" /><Relationship Type="http://schemas.openxmlformats.org/officeDocument/2006/relationships/sharedStrings" Target="/xl/sharedStrings.xml" Id="Ra9f39e1d6eb14b85" /><Relationship Type="http://schemas.openxmlformats.org/officeDocument/2006/relationships/worksheet" Target="/xl/worksheets/sheet1.xml" Id="Rd0b654f7585a44b7" /><Relationship Type="http://schemas.openxmlformats.org/officeDocument/2006/relationships/worksheet" Target="/xl/worksheets/sheet2.xml" Id="Rdeb12c24a0a4485b" /><Relationship Type="http://schemas.openxmlformats.org/officeDocument/2006/relationships/worksheet" Target="/xl/worksheets/sheet3.xml" Id="R78ff6c2942014372" /><Relationship Type="http://schemas.openxmlformats.org/officeDocument/2006/relationships/worksheet" Target="/xl/worksheets/sheet4.xml" Id="Rec124792f5004b00" /><Relationship Type="http://schemas.openxmlformats.org/officeDocument/2006/relationships/worksheet" Target="/xl/worksheets/sheet5.xml" Id="R6c608fcb51d149fa" /><Relationship Type="http://schemas.openxmlformats.org/officeDocument/2006/relationships/worksheet" Target="/xl/worksheets/sheet6.xml" Id="Ree328cb086a34163" /><Relationship Type="http://schemas.openxmlformats.org/officeDocument/2006/relationships/worksheet" Target="/xl/worksheets/sheet7.xml" Id="R4fefe8ebff86447c" /><Relationship Type="http://schemas.openxmlformats.org/officeDocument/2006/relationships/worksheet" Target="/xl/worksheets/sheet8.xml" Id="R8dd7f130969f4620" /><Relationship Type="http://schemas.openxmlformats.org/officeDocument/2006/relationships/worksheet" Target="/xl/worksheets/sheet9.xml" Id="Rfb0446b1aaf24f4a" /><Relationship Type="http://schemas.openxmlformats.org/officeDocument/2006/relationships/worksheet" Target="/xl/worksheets/sheet10.xml" Id="R3834ab78418949b2" /><Relationship Type="http://schemas.openxmlformats.org/officeDocument/2006/relationships/worksheet" Target="/xl/worksheets/sheet11.xml" Id="Rd276f03494c3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34" hidden="0" customWidth="1"/>
    <x:col min="5" max="5" width="38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12" hidden="0" customWidth="1"/>
    <x:col min="11" max="11" width="26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6" hidden="0" customWidth="1"/>
    <x:col min="17" max="17" width="60" hidden="0" customWidth="1"/>
  </x:cols>
  <x:sheetData>
    <x:row r="1" ht="30" customHeight="1">
      <x:c r="A1" s="6" t="str">
        <x:v>Clave</x:v>
      </x:c>
      <x:c r="B1" s="6" t="str">
        <x:v>Variable</x:v>
      </x:c>
      <x:c r="C1" s="6" t="str">
        <x:v>CodigoEstacion</x:v>
      </x:c>
      <x:c r="D1" s="6" t="str">
        <x:v>NombreEstacion</x:v>
      </x:c>
      <x:c r="E1" s="6" t="str">
        <x:v>Parametro</x:v>
      </x:c>
      <x:c r="F1" s="6" t="str">
        <x:v>Unidad</x:v>
      </x:c>
      <x:c r="G1" s="6" t="str">
        <x:v>Frecuencia_detectada</x:v>
      </x:c>
      <x:c r="H1" s="6" t="str">
        <x:v>Fecha_inicial</x:v>
      </x:c>
      <x:c r="I1" s="6" t="str">
        <x:v>Fecha_final</x:v>
      </x:c>
      <x:c r="J1" s="6" t="str">
        <x:v>Registros</x:v>
      </x:c>
      <x:c r="K1" s="6" t="str">
        <x:v>Archivo</x:v>
      </x:c>
      <x:c r="L1" s="6" t="str">
        <x:v>Latitud</x:v>
      </x:c>
      <x:c r="M1" s="6" t="str">
        <x:v>Longitud</x:v>
      </x:c>
      <x:c r="N1" s="6" t="str">
        <x:v>Elevacion_m</x:v>
      </x:c>
      <x:c r="O1" s="6" t="str">
        <x:v>Rol</x:v>
      </x:c>
      <x:c r="P1" s="6" t="str">
        <x:v>Distancia_sede_km</x:v>
      </x:c>
      <x:c r="Q1" s="6" t="str">
        <x:v>Observacion</x:v>
      </x:c>
    </x:row>
    <x:row r="2">
      <x:c r="A2" s="14" t="str">
        <x:v>precipitacion</x:v>
      </x:c>
      <x:c r="B2" s="14" t="str">
        <x:v>Precipitación</x:v>
      </x:c>
      <x:c r="C2" s="14" t="n">
        <x:v>37050040</x:v>
      </x:c>
      <x:c r="D2" s="14" t="str">
        <x:v>MATEZAMURO [37050040]</x:v>
      </x:c>
      <x:c r="E2" s="14" t="str">
        <x:v>Día pluviométrico (convencional)</x:v>
      </x:c>
      <x:c r="F2" s="14" t="str">
        <x:v>mm</x:v>
      </x:c>
      <x:c r="G2" s="14" t="str">
        <x:v>diaria</x:v>
      </x:c>
      <x:c r="H2" s="15" t="n">
        <x:v>36526</x:v>
      </x:c>
      <x:c r="I2" s="15" t="n">
        <x:v>45658</x:v>
      </x:c>
      <x:c r="J2" s="14" t="n">
        <x:v>8811</x:v>
      </x:c>
      <x:c r="K2" s="14" t="str">
        <x:v>Precipitación(1).xlsx</x:v>
      </x:c>
      <x:c r="L2" s="14" t="n">
        <x:v>6.974166667</x:v>
      </x:c>
      <x:c r="M2" s="14" t="n">
        <x:v>-70.85166667</x:v>
      </x:c>
      <x:c r="N2" s="14" t="n">
        <x:v>150</x:v>
      </x:c>
      <x:c r="O2" s="14" t="str">
        <x:v>Principal</x:v>
      </x:c>
      <x:c r="P2" s="18" t="n">
        <x:v>12.677585421431296</x:v>
      </x:c>
      <x:c r="Q2" s="14" t="str">
        <x:v>Principal por alta completitud (~96.5 %) y cercanía razonable a la sede.</x:v>
      </x:c>
    </x:row>
    <x:row r="3">
      <x:c r="A3" s="14" t="str">
        <x:v>precipitacion_villanueva</x:v>
      </x:c>
      <x:c r="B3" s="14" t="str">
        <x:v>Precipitación secundaria</x:v>
      </x:c>
      <x:c r="C3" s="14" t="n">
        <x:v>37050050</x:v>
      </x:c>
      <x:c r="D3" s="14" t="str">
        <x:v>VILLANUEVA [37050050]</x:v>
      </x:c>
      <x:c r="E3" s="14" t="str">
        <x:v>Día pluviométrico (convencional)</x:v>
      </x:c>
      <x:c r="F3" s="14" t="str">
        <x:v>mm</x:v>
      </x:c>
      <x:c r="G3" s="14" t="str">
        <x:v>diaria</x:v>
      </x:c>
      <x:c r="H3" s="15" t="n">
        <x:v>36586</x:v>
      </x:c>
      <x:c r="I3" s="15" t="n">
        <x:v>45658</x:v>
      </x:c>
      <x:c r="J3" s="14" t="n">
        <x:v>8922</x:v>
      </x:c>
      <x:c r="K3" s="14" t="str">
        <x:v>Precipitación(1).xlsx</x:v>
      </x:c>
      <x:c r="L3" s="14" t="n">
        <x:v>6.940277778</x:v>
      </x:c>
      <x:c r="M3" s="14" t="n">
        <x:v>-70.26555556</x:v>
      </x:c>
      <x:c r="N3" s="14" t="n">
        <x:v>100</x:v>
      </x:c>
      <x:c r="O3" s="14" t="str">
        <x:v>Contraste</x:v>
      </x:c>
      <x:c r="P3" s="18" t="n">
        <x:v>53.34254888069269</x:v>
      </x:c>
      <x:c r="Q3" s="14" t="str">
        <x:v>Muy completa, pero más alejada de la sede (~53 km).</x:v>
      </x:c>
    </x:row>
    <x:row r="4">
      <x:c r="A4" s="14" t="str">
        <x:v>precipitacion_aeropuerto</x:v>
      </x:c>
      <x:c r="B4" s="14" t="str">
        <x:v>Precipitación secundaria</x:v>
      </x:c>
      <x:c r="C4" s="14" t="n">
        <x:v>37055010</x:v>
      </x:c>
      <x:c r="D4" s="14" t="str">
        <x:v>AEROPUERTO SANTIAGO PÉREZ [37055010]</x:v>
      </x:c>
      <x:c r="E4" s="14" t="str">
        <x:v>Día pluviométrico (convencional)</x:v>
      </x:c>
      <x:c r="F4" s="14" t="str">
        <x:v>mm</x:v>
      </x:c>
      <x:c r="G4" s="14" t="str">
        <x:v>diaria</x:v>
      </x:c>
      <x:c r="H4" s="15" t="n">
        <x:v>36526</x:v>
      </x:c>
      <x:c r="I4" s="15" t="n">
        <x:v>45649</x:v>
      </x:c>
      <x:c r="J4" s="14" t="n">
        <x:v>7204</x:v>
      </x:c>
      <x:c r="K4" s="14" t="str">
        <x:v>Precipitación(1).xlsx</x:v>
      </x:c>
      <x:c r="L4" s="14" t="n">
        <x:v>7.069444444</x:v>
      </x:c>
      <x:c r="M4" s="14" t="n">
        <x:v>-70.73805556</x:v>
      </x:c>
      <x:c r="N4" s="14" t="n">
        <x:v>128</x:v>
      </x:c>
      <x:c r="O4" s="14" t="str">
        <x:v>Contraste</x:v>
      </x:c>
      <x:c r="P4" s="18" t="n">
        <x:v>6.389897950960949</x:v>
      </x:c>
      <x:c r="Q4" s="14" t="str">
        <x:v>Es la estación más cercana (~6.4 km), pero tiene menor completitud (~79 %).</x:v>
      </x:c>
    </x:row>
    <x:row r="5">
      <x:c r="A5" s="14" t="str">
        <x:v>temperatura_maxima</x:v>
      </x:c>
      <x:c r="B5" s="14" t="str">
        <x:v>Temperatura máxima</x:v>
      </x:c>
      <x:c r="C5" s="14" t="n">
        <x:v>37055010</x:v>
      </x:c>
      <x:c r="D5" s="14" t="str">
        <x:v>AEROPUERTO SANTIAGO PÉREZ [37055010]</x:v>
      </x:c>
      <x:c r="E5" s="14" t="str">
        <x:v>Temperatura máxima diaria</x:v>
      </x:c>
      <x:c r="F5" s="14" t="str">
        <x:v>degC</x:v>
      </x:c>
      <x:c r="G5" s="14" t="str">
        <x:v>diaria</x:v>
      </x:c>
      <x:c r="H5" s="15" t="n">
        <x:v>35796</x:v>
      </x:c>
      <x:c r="I5" s="15" t="n">
        <x:v>43101</x:v>
      </x:c>
      <x:c r="J5" s="14" t="n">
        <x:v>7199</x:v>
      </x:c>
      <x:c r="K5" s="14" t="str">
        <x:v>Temperatura(2).xlsx</x:v>
      </x:c>
      <x:c r="L5" s="14" t="n">
        <x:v>7.069444444</x:v>
      </x:c>
      <x:c r="M5" s="14" t="n">
        <x:v>-70.73805556</x:v>
      </x:c>
      <x:c r="N5" s="14" t="n">
        <x:v>128</x:v>
      </x:c>
      <x:c r="O5" s="14" t="str">
        <x:v>Principal</x:v>
      </x:c>
      <x:c r="P5" s="18" t="n">
        <x:v>6.389897950960949</x:v>
      </x:c>
      <x:c r="Q5" s="14" t="str">
        <x:v>Observación IDEAM directa.</x:v>
      </x:c>
    </x:row>
    <x:row r="6">
      <x:c r="A6" s="14" t="str">
        <x:v>temperatura_minima</x:v>
      </x:c>
      <x:c r="B6" s="14" t="str">
        <x:v>Temperatura mínima</x:v>
      </x:c>
      <x:c r="C6" s="14" t="n">
        <x:v>37055010</x:v>
      </x:c>
      <x:c r="D6" s="14" t="str">
        <x:v>AEROPUERTO SANTIAGO PÉREZ [37055010]</x:v>
      </x:c>
      <x:c r="E6" s="14" t="str">
        <x:v>Temperatura mínima diaria</x:v>
      </x:c>
      <x:c r="F6" s="14" t="str">
        <x:v>degC</x:v>
      </x:c>
      <x:c r="G6" s="14" t="str">
        <x:v>diaria</x:v>
      </x:c>
      <x:c r="H6" s="15" t="n">
        <x:v>35796</x:v>
      </x:c>
      <x:c r="I6" s="15" t="n">
        <x:v>43101</x:v>
      </x:c>
      <x:c r="J6" s="14" t="n">
        <x:v>7180</x:v>
      </x:c>
      <x:c r="K6" s="14" t="str">
        <x:v>Temperatura(2).xlsx</x:v>
      </x:c>
      <x:c r="L6" s="14" t="n">
        <x:v>7.069444444</x:v>
      </x:c>
      <x:c r="M6" s="14" t="n">
        <x:v>-70.73805556</x:v>
      </x:c>
      <x:c r="N6" s="14" t="n">
        <x:v>128</x:v>
      </x:c>
      <x:c r="O6" s="14" t="str">
        <x:v>Principal</x:v>
      </x:c>
      <x:c r="P6" s="18" t="n">
        <x:v>6.389897950960949</x:v>
      </x:c>
      <x:c r="Q6" s="14" t="str">
        <x:v>Observación IDEAM directa.</x:v>
      </x:c>
    </x:row>
    <x:row r="7">
      <x:c r="A7" s="14" t="str">
        <x:v>temperatura_media</x:v>
      </x:c>
      <x:c r="B7" s="14" t="str">
        <x:v>Temperatura media</x:v>
      </x:c>
      <x:c r="C7" s="14" t="n">
        <x:v>37055010</x:v>
      </x:c>
      <x:c r="D7" s="14" t="str">
        <x:v>AEROPUERTO SANTIAGO PÉREZ [37055010]</x:v>
      </x:c>
      <x:c r="E7" s="14" t="str">
        <x:v>Media diaria estimada = (Tmax + Tmin) / 2</x:v>
      </x:c>
      <x:c r="F7" s="14" t="str">
        <x:v>degC</x:v>
      </x:c>
      <x:c r="G7" s="14" t="str">
        <x:v>diaria</x:v>
      </x:c>
      <x:c r="H7" s="15" t="n">
        <x:v>35796</x:v>
      </x:c>
      <x:c r="I7" s="15" t="n">
        <x:v>43101</x:v>
      </x:c>
      <x:c r="J7" s="14" t="n">
        <x:v>7145</x:v>
      </x:c>
      <x:c r="K7" s="14" t="str">
        <x:v>Temperatura(2).xlsx</x:v>
      </x:c>
      <x:c r="L7" s="14" t="n">
        <x:v>7.069444444</x:v>
      </x:c>
      <x:c r="M7" s="14" t="n">
        <x:v>-70.73805556</x:v>
      </x:c>
      <x:c r="N7" s="14" t="n">
        <x:v>128</x:v>
      </x:c>
      <x:c r="O7" s="14" t="str">
        <x:v>Derivada</x:v>
      </x:c>
      <x:c r="P7" s="18" t="n">
        <x:v>6.389897950960949</x:v>
      </x:c>
      <x:c r="Q7" s="14" t="str">
        <x:v>No es una serie de temperatura media reportada por IDEAM; se deriva de extremos para compatibilidad del visor.</x:v>
      </x:c>
    </x:row>
    <x:row r="8">
      <x:c r="A8" s="14" t="str">
        <x:v>humedad_minima_inferida</x:v>
      </x:c>
      <x:c r="B8" s="14" t="str">
        <x:v>Humedad relativa mínima (inferida)</x:v>
      </x:c>
      <x:c r="C8" s="14" t="n">
        <x:v>37055010</x:v>
      </x:c>
      <x:c r="D8" s="14" t="str">
        <x:v>AEROPUERTO SANTIAGO PÉREZ [37055010]</x:v>
      </x:c>
      <x:c r="E8" s="14" t="str">
        <x:v>Hoja de valores bajos; DHIME la rotula como máxima</x:v>
      </x:c>
      <x:c r="F8" s="14" t="str">
        <x:v>%</x:v>
      </x:c>
      <x:c r="G8" s="14" t="str">
        <x:v>diaria</x:v>
      </x:c>
      <x:c r="H8" s="15" t="n">
        <x:v>35796</x:v>
      </x:c>
      <x:c r="I8" s="15" t="n">
        <x:v>43101</x:v>
      </x:c>
      <x:c r="J8" s="14" t="n">
        <x:v>7106</x:v>
      </x:c>
      <x:c r="K8" s="14" t="str">
        <x:v>Humedad relativa(1).xlsx</x:v>
      </x:c>
      <x:c r="L8" s="14" t="n">
        <x:v>7.069444444</x:v>
      </x:c>
      <x:c r="M8" s="14" t="n">
        <x:v>-70.73805556</x:v>
      </x:c>
      <x:c r="N8" s="14" t="n">
        <x:v>128</x:v>
      </x:c>
      <x:c r="O8" s="14" t="str">
        <x:v>Revisión</x:v>
      </x:c>
      <x:c r="P8" s="18" t="n">
        <x:v>6.389897950960949</x:v>
      </x:c>
      <x:c r="Q8" s="14" t="str">
        <x:v>La hoja se interpreta como mínima por su distribución (media ~65 %), pero el metadato DHIME la llama máxima; validar antes de publicación definitiva.</x:v>
      </x:c>
    </x:row>
    <x:row r="9">
      <x:c r="A9" s="14" t="str">
        <x:v>humedad_maxima</x:v>
      </x:c>
      <x:c r="B9" s="14" t="str">
        <x:v>Humedad relativa máxima</x:v>
      </x:c>
      <x:c r="C9" s="14" t="n">
        <x:v>37055010</x:v>
      </x:c>
      <x:c r="D9" s="14" t="str">
        <x:v>AEROPUERTO SANTIAGO PÉREZ [37055010]</x:v>
      </x:c>
      <x:c r="E9" s="14" t="str">
        <x:v>Humedad relativa calculada máxima diaria</x:v>
      </x:c>
      <x:c r="F9" s="14" t="str">
        <x:v>%</x:v>
      </x:c>
      <x:c r="G9" s="14" t="str">
        <x:v>diaria</x:v>
      </x:c>
      <x:c r="H9" s="15" t="n">
        <x:v>35796</x:v>
      </x:c>
      <x:c r="I9" s="15" t="n">
        <x:v>43101</x:v>
      </x:c>
      <x:c r="J9" s="14" t="n">
        <x:v>7106</x:v>
      </x:c>
      <x:c r="K9" s="14" t="str">
        <x:v>Humedad relativa(1).xlsx</x:v>
      </x:c>
      <x:c r="L9" s="14" t="n">
        <x:v>7.069444444</x:v>
      </x:c>
      <x:c r="M9" s="14" t="n">
        <x:v>-70.73805556</x:v>
      </x:c>
      <x:c r="N9" s="14" t="n">
        <x:v>128</x:v>
      </x:c>
      <x:c r="O9" s="14" t="str">
        <x:v>Principal</x:v>
      </x:c>
      <x:c r="P9" s="18" t="n">
        <x:v>6.389897950960949</x:v>
      </x:c>
      <x:c r="Q9" s="14" t="str">
        <x:v>Hoja de valores altos (media ~94 %).</x:v>
      </x:c>
    </x:row>
    <x:row r="10">
      <x:c r="A10" s="14" t="str">
        <x:v>humedad_relativa</x:v>
      </x:c>
      <x:c r="B10" s="14" t="str">
        <x:v>Humedad relativa media</x:v>
      </x:c>
      <x:c r="C10" s="14" t="n">
        <x:v>37055010</x:v>
      </x:c>
      <x:c r="D10" s="14" t="str">
        <x:v>AEROPUERTO SANTIAGO PÉREZ [37055010]</x:v>
      </x:c>
      <x:c r="E10" s="14" t="str">
        <x:v>Media diaria estimada = (HRmin inferida + HRmax) / 2</x:v>
      </x:c>
      <x:c r="F10" s="14" t="str">
        <x:v>%</x:v>
      </x:c>
      <x:c r="G10" s="14" t="str">
        <x:v>diaria</x:v>
      </x:c>
      <x:c r="H10" s="15" t="n">
        <x:v>35796</x:v>
      </x:c>
      <x:c r="I10" s="15" t="n">
        <x:v>43101</x:v>
      </x:c>
      <x:c r="J10" s="14" t="n">
        <x:v>7106</x:v>
      </x:c>
      <x:c r="K10" s="14" t="str">
        <x:v>Humedad relativa(1).xlsx</x:v>
      </x:c>
      <x:c r="L10" s="14" t="n">
        <x:v>7.069444444</x:v>
      </x:c>
      <x:c r="M10" s="14" t="n">
        <x:v>-70.73805556</x:v>
      </x:c>
      <x:c r="N10" s="14" t="n">
        <x:v>128</x:v>
      </x:c>
      <x:c r="O10" s="14" t="str">
        <x:v>Derivada</x:v>
      </x:c>
      <x:c r="P10" s="18" t="n">
        <x:v>6.389897950960949</x:v>
      </x:c>
      <x:c r="Q10" s="14" t="str">
        <x:v>Serie media derivada para el visor; su validez depende de confirmar la identificación de la hoja de humedad mínima.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6" t="str">
        <x:v>Variable</x:v>
      </x:c>
      <x:c r="B1" s="6" t="str">
        <x:v>count</x:v>
      </x:c>
      <x:c r="C1" s="6" t="str">
        <x:v>mean</x:v>
      </x:c>
      <x:c r="D1" s="6" t="str">
        <x:v>std</x:v>
      </x:c>
      <x:c r="E1" s="6" t="str">
        <x:v>min</x:v>
      </x:c>
      <x:c r="F1" s="6" t="str">
        <x:v>25%</x:v>
      </x:c>
      <x:c r="G1" s="6" t="str">
        <x:v>50%</x:v>
      </x:c>
      <x:c r="H1" s="6" t="str">
        <x:v>75%</x:v>
      </x:c>
      <x:c r="I1" s="6" t="str">
        <x:v>max</x:v>
      </x:c>
    </x:row>
    <x:row r="2">
      <x:c r="A2" t="str">
        <x:v>precipitacion</x:v>
      </x:c>
      <x:c r="B2" t="n">
        <x:v>8811</x:v>
      </x:c>
      <x:c r="C2" s="20" t="n">
        <x:v>4.5945295653160825</x:v>
      </x:c>
      <x:c r="D2" s="20" t="n">
        <x:v>12.153040642517773</x:v>
      </x:c>
      <x:c r="E2" s="20" t="n">
        <x:v>0</x:v>
      </x:c>
      <x:c r="F2" s="20" t="n">
        <x:v>0</x:v>
      </x:c>
      <x:c r="G2" s="20" t="n">
        <x:v>0</x:v>
      </x:c>
      <x:c r="H2" s="20" t="n">
        <x:v>1.2</x:v>
      </x:c>
      <x:c r="I2" s="20" t="n">
        <x:v>144</x:v>
      </x:c>
    </x:row>
    <x:row r="3">
      <x:c r="A3" t="str">
        <x:v>temperatura_media</x:v>
      </x:c>
      <x:c r="B3" t="n">
        <x:v>7145</x:v>
      </x:c>
      <x:c r="C3" s="20" t="n">
        <x:v>27.386501049685094</x:v>
      </x:c>
      <x:c r="D3" s="20" t="n">
        <x:v>1.2357366816803916</x:v>
      </x:c>
      <x:c r="E3" s="20" t="n">
        <x:v>22</x:v>
      </x:c>
      <x:c r="F3" s="20" t="n">
        <x:v>26.65</x:v>
      </x:c>
      <x:c r="G3" s="20" t="n">
        <x:v>27.4</x:v>
      </x:c>
      <x:c r="H3" s="20" t="n">
        <x:v>28.150000000000002</x:v>
      </x:c>
      <x:c r="I3" s="20" t="n">
        <x:v>32.1</x:v>
      </x:c>
    </x:row>
    <x:row r="4">
      <x:c r="A4" t="str">
        <x:v>temperatura_maxima</x:v>
      </x:c>
      <x:c r="B4" t="n">
        <x:v>7199</x:v>
      </x:c>
      <x:c r="C4" s="20" t="n">
        <x:v>32.154354771496045</x:v>
      </x:c>
      <x:c r="D4" s="20" t="n">
        <x:v>2.2748794574598876</x:v>
      </x:c>
      <x:c r="E4" s="20" t="n">
        <x:v>24</x:v>
      </x:c>
      <x:c r="F4" s="20" t="n">
        <x:v>30.8</x:v>
      </x:c>
      <x:c r="G4" s="20" t="n">
        <x:v>32.2</x:v>
      </x:c>
      <x:c r="H4" s="20" t="n">
        <x:v>33.5</x:v>
      </x:c>
      <x:c r="I4" s="20" t="n">
        <x:v>39.2</x:v>
      </x:c>
    </x:row>
    <x:row r="5">
      <x:c r="A5" t="str">
        <x:v>temperatura_minima</x:v>
      </x:c>
      <x:c r="B5" t="n">
        <x:v>7180</x:v>
      </x:c>
      <x:c r="C5" s="20" t="n">
        <x:v>22.612938718662953</x:v>
      </x:c>
      <x:c r="D5" s="20" t="n">
        <x:v>1.1341086959379192</x:v>
      </x:c>
      <x:c r="E5" s="20" t="n">
        <x:v>16.8</x:v>
      </x:c>
      <x:c r="F5" s="20" t="n">
        <x:v>22</x:v>
      </x:c>
      <x:c r="G5" s="20" t="n">
        <x:v>22.8</x:v>
      </x:c>
      <x:c r="H5" s="20" t="n">
        <x:v>23.4</x:v>
      </x:c>
      <x:c r="I5" s="20" t="n">
        <x:v>26</x:v>
      </x:c>
    </x:row>
    <x:row r="6">
      <x:c r="A6" t="str">
        <x:v>humedad_relativa</x:v>
      </x:c>
      <x:c r="B6" t="n">
        <x:v>7106</x:v>
      </x:c>
      <x:c r="C6" s="20" t="n">
        <x:v>79.512876442443</x:v>
      </x:c>
      <x:c r="D6" s="20" t="n">
        <x:v>9.343805195910802</x:v>
      </x:c>
      <x:c r="E6" s="20" t="n">
        <x:v>31</x:v>
      </x:c>
      <x:c r="F6" s="20" t="n">
        <x:v>74</x:v>
      </x:c>
      <x:c r="G6" s="20" t="n">
        <x:v>80</x:v>
      </x:c>
      <x:c r="H6" s="20" t="n">
        <x:v>85.5</x:v>
      </x:c>
      <x:c r="I6" s="20" t="n">
        <x:v>100</x:v>
      </x:c>
    </x:row>
    <x:row r="7">
      <x:c r="A7" t="str">
        <x:v>humedad_minima_inferida</x:v>
      </x:c>
      <x:c r="B7" t="n">
        <x:v>7106</x:v>
      </x:c>
      <x:c r="C7" s="20" t="n">
        <x:v>65.4285111173656</x:v>
      </x:c>
      <x:c r="D7" s="20" t="n">
        <x:v>14.552495106128042</x:v>
      </x:c>
      <x:c r="E7" s="20" t="n">
        <x:v>7</x:v>
      </x:c>
      <x:c r="F7" s="20" t="n">
        <x:v>56</x:v>
      </x:c>
      <x:c r="G7" s="20" t="n">
        <x:v>65</x:v>
      </x:c>
      <x:c r="H7" s="20" t="n">
        <x:v>74</x:v>
      </x:c>
      <x:c r="I7" s="20" t="n">
        <x:v>100</x:v>
      </x:c>
    </x:row>
    <x:row r="8">
      <x:c r="A8" t="str">
        <x:v>humedad_maxima</x:v>
      </x:c>
      <x:c r="B8" t="n">
        <x:v>7106</x:v>
      </x:c>
      <x:c r="C8" s="20" t="n">
        <x:v>93.5972417675204</x:v>
      </x:c>
      <x:c r="D8" s="20" t="n">
        <x:v>5.768209924560583</x:v>
      </x:c>
      <x:c r="E8" s="20" t="n">
        <x:v>43</x:v>
      </x:c>
      <x:c r="F8" s="20" t="n">
        <x:v>92</x:v>
      </x:c>
      <x:c r="G8" s="20" t="n">
        <x:v>95</x:v>
      </x:c>
      <x:c r="H8" s="20" t="n">
        <x:v>98</x:v>
      </x:c>
      <x:c r="I8" s="20" t="n">
        <x:v>100</x:v>
      </x:c>
    </x:row>
    <x:row r="9">
      <x:c r="A9" t="str">
        <x:v>precipitacion_villanueva</x:v>
      </x:c>
      <x:c r="B9" t="n">
        <x:v>8922</x:v>
      </x:c>
      <x:c r="C9" s="20" t="n">
        <x:v>4.947489352163192</x:v>
      </x:c>
      <x:c r="D9" s="20" t="n">
        <x:v>12.81061524209551</x:v>
      </x:c>
      <x:c r="E9" s="20" t="n">
        <x:v>0</x:v>
      </x:c>
      <x:c r="F9" s="20" t="n">
        <x:v>0</x:v>
      </x:c>
      <x:c r="G9" s="20" t="n">
        <x:v>0</x:v>
      </x:c>
      <x:c r="H9" s="20" t="n">
        <x:v>2</x:v>
      </x:c>
      <x:c r="I9" s="20" t="n">
        <x:v>150</x:v>
      </x:c>
    </x:row>
    <x:row r="10">
      <x:c r="A10" t="str">
        <x:v>precipitacion_aeropuerto</x:v>
      </x:c>
      <x:c r="B10" t="n">
        <x:v>7204</x:v>
      </x:c>
      <x:c r="C10" s="20" t="n">
        <x:v>5.350430316490838</x:v>
      </x:c>
      <x:c r="D10" s="20" t="n">
        <x:v>12.234525701476258</x:v>
      </x:c>
      <x:c r="E10" s="20" t="n">
        <x:v>0</x:v>
      </x:c>
      <x:c r="F10" s="20" t="n">
        <x:v>0</x:v>
      </x:c>
      <x:c r="G10" s="20" t="n">
        <x:v>0</x:v>
      </x:c>
      <x:c r="H10" s="20" t="n">
        <x:v>4.1</x:v>
      </x:c>
      <x:c r="I10" s="20" t="n">
        <x:v>136.3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Variable</x:v>
      </x:c>
      <x:c r="B1" s="6" t="str">
        <x:v>Frecuencia</x:v>
      </x:c>
      <x:c r="C1" s="6" t="str">
        <x:v>Fecha inicial</x:v>
      </x:c>
      <x:c r="D1" s="6" t="str">
        <x:v>Fecha final</x:v>
      </x:c>
      <x:c r="E1" s="6" t="str">
        <x:v>Registros</x:v>
      </x:c>
      <x:c r="F1" s="6" t="str">
        <x:v>Valores válidos</x:v>
      </x:c>
      <x:c r="G1" s="6" t="str">
        <x:v>Valores NaN</x:v>
      </x:c>
      <x:c r="H1" s="6" t="str">
        <x:v>Fechas ausentes</x:v>
      </x:c>
      <x:c r="I1" s="6" t="str">
        <x:v>Ceros</x:v>
      </x:c>
      <x:c r="J1" s="6" t="str">
        <x:v>Total esperado</x:v>
      </x:c>
      <x:c r="K1" s="6" t="str">
        <x:v>Completitud [%]</x:v>
      </x:c>
    </x:row>
    <x:row r="2">
      <x:c r="A2" s="14" t="str">
        <x:v>precipitacion</x:v>
      </x:c>
      <x:c r="B2" s="14" t="str">
        <x:v>diaria</x:v>
      </x:c>
      <x:c r="C2" s="15" t="n">
        <x:v>36526</x:v>
      </x:c>
      <x:c r="D2" s="15" t="n">
        <x:v>45658</x:v>
      </x:c>
      <x:c r="E2" s="14" t="n">
        <x:v>8811</x:v>
      </x:c>
      <x:c r="F2" s="14" t="n">
        <x:v>8811</x:v>
      </x:c>
      <x:c r="G2" s="14" t="n">
        <x:v>0</x:v>
      </x:c>
      <x:c r="H2" s="15" t="n">
        <x:v>322</x:v>
      </x:c>
      <x:c r="I2" s="14" t="n">
        <x:v>6441</x:v>
      </x:c>
      <x:c r="J2" s="14" t="n">
        <x:v>9133</x:v>
      </x:c>
      <x:c r="K2" s="22" t="n">
        <x:v>96.47432388043359</x:v>
      </x:c>
    </x:row>
    <x:row r="3">
      <x:c r="A3" s="14" t="str">
        <x:v>temperatura_media</x:v>
      </x:c>
      <x:c r="B3" s="14" t="str">
        <x:v>diaria</x:v>
      </x:c>
      <x:c r="C3" s="15" t="n">
        <x:v>35796</x:v>
      </x:c>
      <x:c r="D3" s="15" t="n">
        <x:v>43101</x:v>
      </x:c>
      <x:c r="E3" s="14" t="n">
        <x:v>7145</x:v>
      </x:c>
      <x:c r="F3" s="14" t="n">
        <x:v>7145</x:v>
      </x:c>
      <x:c r="G3" s="14" t="n">
        <x:v>0</x:v>
      </x:c>
      <x:c r="H3" s="15" t="n">
        <x:v>161</x:v>
      </x:c>
      <x:c r="I3" s="14" t="n">
        <x:v>0</x:v>
      </x:c>
      <x:c r="J3" s="14" t="n">
        <x:v>7306</x:v>
      </x:c>
      <x:c r="K3" s="22" t="n">
        <x:v>97.7963317820969</x:v>
      </x:c>
    </x:row>
    <x:row r="4">
      <x:c r="A4" s="14" t="str">
        <x:v>temperatura_maxima</x:v>
      </x:c>
      <x:c r="B4" s="14" t="str">
        <x:v>diaria</x:v>
      </x:c>
      <x:c r="C4" s="15" t="n">
        <x:v>35796</x:v>
      </x:c>
      <x:c r="D4" s="15" t="n">
        <x:v>43101</x:v>
      </x:c>
      <x:c r="E4" s="14" t="n">
        <x:v>7199</x:v>
      </x:c>
      <x:c r="F4" s="14" t="n">
        <x:v>7199</x:v>
      </x:c>
      <x:c r="G4" s="14" t="n">
        <x:v>0</x:v>
      </x:c>
      <x:c r="H4" s="15" t="n">
        <x:v>107</x:v>
      </x:c>
      <x:c r="I4" s="14" t="n">
        <x:v>0</x:v>
      </x:c>
      <x:c r="J4" s="14" t="n">
        <x:v>7306</x:v>
      </x:c>
      <x:c r="K4" s="22" t="n">
        <x:v>98.53545031480975</x:v>
      </x:c>
    </x:row>
    <x:row r="5">
      <x:c r="A5" s="14" t="str">
        <x:v>temperatura_minima</x:v>
      </x:c>
      <x:c r="B5" s="14" t="str">
        <x:v>diaria</x:v>
      </x:c>
      <x:c r="C5" s="15" t="n">
        <x:v>35796</x:v>
      </x:c>
      <x:c r="D5" s="15" t="n">
        <x:v>43101</x:v>
      </x:c>
      <x:c r="E5" s="14" t="n">
        <x:v>7180</x:v>
      </x:c>
      <x:c r="F5" s="14" t="n">
        <x:v>7180</x:v>
      </x:c>
      <x:c r="G5" s="14" t="n">
        <x:v>0</x:v>
      </x:c>
      <x:c r="H5" s="15" t="n">
        <x:v>126</x:v>
      </x:c>
      <x:c r="I5" s="14" t="n">
        <x:v>0</x:v>
      </x:c>
      <x:c r="J5" s="14" t="n">
        <x:v>7306</x:v>
      </x:c>
      <x:c r="K5" s="22" t="n">
        <x:v>98.27539009033671</x:v>
      </x:c>
    </x:row>
    <x:row r="6">
      <x:c r="A6" s="14" t="str">
        <x:v>humedad_relativa</x:v>
      </x:c>
      <x:c r="B6" s="14" t="str">
        <x:v>diaria</x:v>
      </x:c>
      <x:c r="C6" s="15" t="n">
        <x:v>35796</x:v>
      </x:c>
      <x:c r="D6" s="15" t="n">
        <x:v>43101</x:v>
      </x:c>
      <x:c r="E6" s="14" t="n">
        <x:v>7106</x:v>
      </x:c>
      <x:c r="F6" s="14" t="n">
        <x:v>7106</x:v>
      </x:c>
      <x:c r="G6" s="14" t="n">
        <x:v>0</x:v>
      </x:c>
      <x:c r="H6" s="15" t="n">
        <x:v>200</x:v>
      </x:c>
      <x:c r="I6" s="14" t="n">
        <x:v>0</x:v>
      </x:c>
      <x:c r="J6" s="14" t="n">
        <x:v>7306</x:v>
      </x:c>
      <x:c r="K6" s="22" t="n">
        <x:v>97.26252395291542</x:v>
      </x:c>
    </x:row>
    <x:row r="7">
      <x:c r="A7" s="14" t="str">
        <x:v>humedad_minima_inferida</x:v>
      </x:c>
      <x:c r="B7" s="14" t="str">
        <x:v>diaria</x:v>
      </x:c>
      <x:c r="C7" s="15" t="n">
        <x:v>35796</x:v>
      </x:c>
      <x:c r="D7" s="15" t="n">
        <x:v>43101</x:v>
      </x:c>
      <x:c r="E7" s="14" t="n">
        <x:v>7106</x:v>
      </x:c>
      <x:c r="F7" s="14" t="n">
        <x:v>7106</x:v>
      </x:c>
      <x:c r="G7" s="14" t="n">
        <x:v>0</x:v>
      </x:c>
      <x:c r="H7" s="15" t="n">
        <x:v>200</x:v>
      </x:c>
      <x:c r="I7" s="14" t="n">
        <x:v>0</x:v>
      </x:c>
      <x:c r="J7" s="14" t="n">
        <x:v>7306</x:v>
      </x:c>
      <x:c r="K7" s="22" t="n">
        <x:v>97.26252395291542</x:v>
      </x:c>
    </x:row>
    <x:row r="8">
      <x:c r="A8" s="14" t="str">
        <x:v>humedad_maxima</x:v>
      </x:c>
      <x:c r="B8" s="14" t="str">
        <x:v>diaria</x:v>
      </x:c>
      <x:c r="C8" s="15" t="n">
        <x:v>35796</x:v>
      </x:c>
      <x:c r="D8" s="15" t="n">
        <x:v>43101</x:v>
      </x:c>
      <x:c r="E8" s="14" t="n">
        <x:v>7106</x:v>
      </x:c>
      <x:c r="F8" s="14" t="n">
        <x:v>7106</x:v>
      </x:c>
      <x:c r="G8" s="14" t="n">
        <x:v>0</x:v>
      </x:c>
      <x:c r="H8" s="15" t="n">
        <x:v>200</x:v>
      </x:c>
      <x:c r="I8" s="14" t="n">
        <x:v>0</x:v>
      </x:c>
      <x:c r="J8" s="14" t="n">
        <x:v>7306</x:v>
      </x:c>
      <x:c r="K8" s="22" t="n">
        <x:v>97.26252395291542</x:v>
      </x:c>
    </x:row>
    <x:row r="9">
      <x:c r="A9" s="14" t="str">
        <x:v>precipitacion_villanueva</x:v>
      </x:c>
      <x:c r="B9" s="14" t="str">
        <x:v>diaria</x:v>
      </x:c>
      <x:c r="C9" s="15" t="n">
        <x:v>36586</x:v>
      </x:c>
      <x:c r="D9" s="15" t="n">
        <x:v>45658</x:v>
      </x:c>
      <x:c r="E9" s="14" t="n">
        <x:v>8922</x:v>
      </x:c>
      <x:c r="F9" s="14" t="n">
        <x:v>8922</x:v>
      </x:c>
      <x:c r="G9" s="14" t="n">
        <x:v>0</x:v>
      </x:c>
      <x:c r="H9" s="15" t="n">
        <x:v>151</x:v>
      </x:c>
      <x:c r="I9" s="14" t="n">
        <x:v>6649</x:v>
      </x:c>
      <x:c r="J9" s="14" t="n">
        <x:v>9073</x:v>
      </x:c>
      <x:c r="K9" s="22" t="n">
        <x:v>98.33572137110107</x:v>
      </x:c>
    </x:row>
    <x:row r="10">
      <x:c r="A10" s="14" t="str">
        <x:v>precipitacion_aeropuerto</x:v>
      </x:c>
      <x:c r="B10" s="14" t="str">
        <x:v>diaria</x:v>
      </x:c>
      <x:c r="C10" s="15" t="n">
        <x:v>36526</x:v>
      </x:c>
      <x:c r="D10" s="15" t="n">
        <x:v>45649</x:v>
      </x:c>
      <x:c r="E10" s="14" t="n">
        <x:v>7204</x:v>
      </x:c>
      <x:c r="F10" s="14" t="n">
        <x:v>7204</x:v>
      </x:c>
      <x:c r="G10" s="14" t="n">
        <x:v>0</x:v>
      </x:c>
      <x:c r="H10" s="15" t="n">
        <x:v>1920</x:v>
      </x:c>
      <x:c r="I10" s="14" t="n">
        <x:v>3955</x:v>
      </x:c>
      <x:c r="J10" s="14" t="n">
        <x:v>9124</x:v>
      </x:c>
      <x:c r="K10" s="22" t="n">
        <x:v>78.95659798334064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50" hidden="0" customWidth="1"/>
  </x:cols>
  <x:sheetData>
    <x:row r="1" ht="30" customHeight="1">
      <x:c r="A1" s="6" t="str">
        <x:v>Indicador</x:v>
      </x:c>
      <x:c r="B1" s="6" t="str">
        <x:v>Valor</x:v>
      </x:c>
    </x:row>
    <x:row r="2">
      <x:c r="A2" s="14" t="str">
        <x:v>Fecha inicial global</x:v>
      </x:c>
      <x:c r="B2" s="15" t="n">
        <x:v>35796</x:v>
      </x:c>
    </x:row>
    <x:row r="3">
      <x:c r="A3" s="14" t="str">
        <x:v>Fecha final global</x:v>
      </x:c>
      <x:c r="B3" s="15" t="n">
        <x:v>45658</x:v>
      </x:c>
    </x:row>
    <x:row r="4">
      <x:c r="A4" s="14" t="str">
        <x:v>Número de variables cargadas</x:v>
      </x:c>
      <x:c r="B4" s="14" t="n">
        <x:v>5</x:v>
      </x:c>
    </x:row>
    <x:row r="5">
      <x:c r="A5" s="14" t="str">
        <x:v>Estación principal de precipitación</x:v>
      </x:c>
      <x:c r="B5" s="14" t="str">
        <x:v>MATEZAMURO [37050040]</x:v>
      </x:c>
    </x:row>
    <x:row r="6">
      <x:c r="A6" s="14" t="str">
        <x:v>Distancia estación P principal a Sede Orinoquía [km]</x:v>
      </x:c>
      <x:c r="B6" s="14" t="n">
        <x:v>12.677585421431296</x:v>
      </x:c>
    </x:row>
    <x:row r="7">
      <x:c r="A7" s="14" t="str">
        <x:v>Precipitación climatológica anual aproximada [mm/año]</x:v>
      </x:c>
      <x:c r="B7" s="14" t="n">
        <x:v>1646.8585579710145</x:v>
      </x:c>
    </x:row>
    <x:row r="8">
      <x:c r="A8" s="14" t="str">
        <x:v>Precipitación diaria máxima [mm/día]</x:v>
      </x:c>
      <x:c r="B8" s="14" t="n">
        <x:v>144</x:v>
      </x:c>
    </x:row>
    <x:row r="9">
      <x:c r="A9" s="14" t="str">
        <x:v>Temperatura media estimada del periodo [°C]</x:v>
      </x:c>
      <x:c r="B9" s="14" t="n">
        <x:v>27.386501049685094</x:v>
      </x:c>
    </x:row>
    <x:row r="10">
      <x:c r="A10" s="14" t="str">
        <x:v>Temperatura máxima absoluta [°C]</x:v>
      </x:c>
      <x:c r="B10" s="14" t="n">
        <x:v>39.2</x:v>
      </x:c>
    </x:row>
    <x:row r="11">
      <x:c r="A11" s="14" t="str">
        <x:v>Temperatura mínima absoluta [°C]</x:v>
      </x:c>
      <x:c r="B11" s="14" t="n">
        <x:v>16.8</x:v>
      </x:c>
    </x:row>
    <x:row r="12">
      <x:c r="A12" s="14" t="str">
        <x:v>Humedad relativa media estimada [%]</x:v>
      </x:c>
      <x:c r="B12" s="14" t="n">
        <x:v>79.512876442443</x:v>
      </x:c>
    </x:row>
    <x:row r="13">
      <x:c r="A13" s="14" t="str">
        <x:v>Completitud precipitación principal [%]</x:v>
      </x:c>
      <x:c r="B13" s="14" t="n">
        <x:v>96.47432388043359</x:v>
      </x:c>
    </x:row>
    <x:row r="14">
      <x:c r="A14" s="14" t="str">
        <x:v>Completitud temperatura máxima [%]</x:v>
      </x:c>
      <x:c r="B14" s="14" t="n">
        <x:v>98.53545031480975</x:v>
      </x:c>
    </x:row>
    <x:row r="15">
      <x:c r="A15" s="14" t="str">
        <x:v>Completitud temperatura mínima [%]</x:v>
      </x:c>
      <x:c r="B15" s="14" t="n">
        <x:v>98.27539009033671</x:v>
      </x:c>
    </x:row>
    <x:row r="16">
      <x:c r="A16" s="14" t="str">
        <x:v>Completitud humedad derivada [%]</x:v>
      </x:c>
      <x:c r="B16" s="14" t="n">
        <x:v>97.26252395291542</x:v>
      </x:c>
    </x:row>
    <x:row r="17">
      <x:c r="A17" s="14" t="str">
        <x:v>Criterio mensual válido</x:v>
      </x:c>
      <x:c r="B17" s="14" t="str">
        <x:v>≥ 75 % de días disponibles en el mes</x:v>
      </x:c>
    </x:row>
    <x:row r="18">
      <x:c r="A18" s="14" t="str">
        <x:v>Criterio anual P válido</x:v>
      </x:c>
      <x:c r="B18" s="14" t="str">
        <x:v>≥ 90 % de días disponibles en el año</x:v>
      </x:c>
    </x:row>
    <x:row r="19">
      <x:c r="A19" s="25" t="str">
        <x:v>Advertencia HR</x:v>
      </x:c>
      <x:c r="B19" s="25" t="str">
        <x:v>La hoja de humedad de valores bajos está inferida como mínima; validar metadato IDEAM antes de publicación definitiva.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</x:cols>
  <x:sheetData>
    <x:row r="1" ht="30" customHeight="1">
      <x:c r="A1" s="6" t="str">
        <x:v>mes</x:v>
      </x:c>
      <x:c r="B1" s="6" t="str">
        <x:v>precipitacion</x:v>
      </x:c>
    </x:row>
    <x:row r="2">
      <x:c r="A2" t="n">
        <x:v>1</x:v>
      </x:c>
      <x:c r="B2" s="20" t="n">
        <x:v>22.182608695652174</x:v>
      </x:c>
    </x:row>
    <x:row r="3">
      <x:c r="A3" t="n">
        <x:v>2</x:v>
      </x:c>
      <x:c r="B3" s="20" t="n">
        <x:v>7.843478260869565</x:v>
      </x:c>
    </x:row>
    <x:row r="4">
      <x:c r="A4" t="n">
        <x:v>3</x:v>
      </x:c>
      <x:c r="B4" s="20" t="n">
        <x:v>37.02608695652174</x:v>
      </x:c>
    </x:row>
    <x:row r="5">
      <x:c r="A5" t="n">
        <x:v>4</x:v>
      </x:c>
      <x:c r="B5" s="20" t="n">
        <x:v>163.79583333333332</x:v>
      </x:c>
    </x:row>
    <x:row r="6">
      <x:c r="A6" t="n">
        <x:v>5</x:v>
      </x:c>
      <x:c r="B6" s="20" t="n">
        <x:v>237.088</x:v>
      </x:c>
    </x:row>
    <x:row r="7">
      <x:c r="A7" t="n">
        <x:v>6</x:v>
      </x:c>
      <x:c r="B7" s="20" t="n">
        <x:v>271.66521739130434</x:v>
      </x:c>
    </x:row>
    <x:row r="8">
      <x:c r="A8" t="n">
        <x:v>7</x:v>
      </x:c>
      <x:c r="B8" s="20" t="n">
        <x:v>234.74166666666667</x:v>
      </x:c>
    </x:row>
    <x:row r="9">
      <x:c r="A9" t="n">
        <x:v>8</x:v>
      </x:c>
      <x:c r="B9" s="20" t="n">
        <x:v>220.236</x:v>
      </x:c>
    </x:row>
    <x:row r="10">
      <x:c r="A10" t="n">
        <x:v>9</x:v>
      </x:c>
      <x:c r="B10" s="20" t="n">
        <x:v>187.868</x:v>
      </x:c>
    </x:row>
    <x:row r="11">
      <x:c r="A11" t="n">
        <x:v>10</x:v>
      </x:c>
      <x:c r="B11" s="20" t="n">
        <x:v>150.82</x:v>
      </x:c>
    </x:row>
    <x:row r="12">
      <x:c r="A12" t="n">
        <x:v>11</x:v>
      </x:c>
      <x:c r="B12" s="20" t="n">
        <x:v>88.09166666666665</x:v>
      </x:c>
    </x:row>
    <x:row r="13">
      <x:c r="A13" t="n">
        <x:v>12</x:v>
      </x:c>
      <x:c r="B13" s="20" t="n">
        <x:v>25.5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0" customHeight="1">
      <x:c r="A1" s="6" t="str">
        <x:v>mes</x:v>
      </x:c>
      <x:c r="B1" s="6" t="str">
        <x:v>temperatura_media</x:v>
      </x:c>
      <x:c r="C1" s="6" t="str">
        <x:v>temperatura_maxima</x:v>
      </x:c>
      <x:c r="D1" s="6" t="str">
        <x:v>temperatura_minima</x:v>
      </x:c>
    </x:row>
    <x:row r="2">
      <x:c r="A2" t="n">
        <x:v>1</x:v>
      </x:c>
      <x:c r="B2" s="20" t="n">
        <x:v>27.245747311827955</x:v>
      </x:c>
      <x:c r="C2" s="20" t="n">
        <x:v>33.3023064516129</x:v>
      </x:c>
      <x:c r="D2" s="20" t="n">
        <x:v>21.1891935483871</x:v>
      </x:c>
    </x:row>
    <x:row r="3">
      <x:c r="A3" t="n">
        <x:v>2</x:v>
      </x:c>
      <x:c r="B3" s="20" t="n">
        <x:v>28.04142752761287</x:v>
      </x:c>
      <x:c r="C3" s="20" t="n">
        <x:v>34.447469089020814</x:v>
      </x:c>
      <x:c r="D3" s="20" t="n">
        <x:v>21.63535486225141</x:v>
      </x:c>
    </x:row>
    <x:row r="4">
      <x:c r="A4" t="n">
        <x:v>3</x:v>
      </x:c>
      <x:c r="B4" s="20" t="n">
        <x:v>28.64454569892473</x:v>
      </x:c>
      <x:c r="C4" s="20" t="n">
        <x:v>34.671242703533025</x:v>
      </x:c>
      <x:c r="D4" s="20" t="n">
        <x:v>22.612922691879866</x:v>
      </x:c>
    </x:row>
    <x:row r="5">
      <x:c r="A5" t="n">
        <x:v>4</x:v>
      </x:c>
      <x:c r="B5" s="20" t="n">
        <x:v>27.99387643678161</x:v>
      </x:c>
      <x:c r="C5" s="20" t="n">
        <x:v>32.987954022988504</x:v>
      </x:c>
      <x:c r="D5" s="20" t="n">
        <x:v>22.990689655172414</x:v>
      </x:c>
    </x:row>
    <x:row r="6">
      <x:c r="A6" t="n">
        <x:v>5</x:v>
      </x:c>
      <x:c r="B6" s="20" t="n">
        <x:v>27.26779810901001</x:v>
      </x:c>
      <x:c r="C6" s="20" t="n">
        <x:v>31.434462736373746</x:v>
      </x:c>
      <x:c r="D6" s="20" t="n">
        <x:v>23.094483870967743</x:v>
      </x:c>
    </x:row>
    <x:row r="7">
      <x:c r="A7" t="n">
        <x:v>6</x:v>
      </x:c>
      <x:c r="B7" s="20" t="n">
        <x:v>26.48550223499361</x:v>
      </x:c>
      <x:c r="C7" s="20" t="n">
        <x:v>30.215543513957307</x:v>
      </x:c>
      <x:c r="D7" s="20" t="n">
        <x:v>22.76015435139573</x:v>
      </x:c>
    </x:row>
    <x:row r="8">
      <x:c r="A8" t="n">
        <x:v>7</x:v>
      </x:c>
      <x:c r="B8" s="20" t="n">
        <x:v>26.451898836155397</x:v>
      </x:c>
      <x:c r="C8" s="20" t="n">
        <x:v>30.232163594470045</x:v>
      </x:c>
      <x:c r="D8" s="20" t="n">
        <x:v>22.65853811112877</x:v>
      </x:c>
    </x:row>
    <x:row r="9">
      <x:c r="A9" t="n">
        <x:v>8</x:v>
      </x:c>
      <x:c r="B9" s="20" t="n">
        <x:v>26.87350594227504</x:v>
      </x:c>
      <x:c r="C9" s="20" t="n">
        <x:v>30.970967741935485</x:v>
      </x:c>
      <x:c r="D9" s="20" t="n">
        <x:v>22.778200339558573</x:v>
      </x:c>
    </x:row>
    <x:row r="10">
      <x:c r="A10" t="n">
        <x:v>9</x:v>
      </x:c>
      <x:c r="B10" s="20" t="n">
        <x:v>27.3454105090312</x:v>
      </x:c>
      <x:c r="C10" s="20" t="n">
        <x:v>31.783718390804598</x:v>
      </x:c>
      <x:c r="D10" s="20" t="n">
        <x:v>22.914495484400657</x:v>
      </x:c>
    </x:row>
    <x:row r="11">
      <x:c r="A11" t="n">
        <x:v>10</x:v>
      </x:c>
      <x:c r="B11" s="20" t="n">
        <x:v>27.57576663885799</x:v>
      </x:c>
      <x:c r="C11" s="20" t="n">
        <x:v>32.026135891731556</x:v>
      </x:c>
      <x:c r="D11" s="20" t="n">
        <x:v>23.12350370782351</x:v>
      </x:c>
    </x:row>
    <x:row r="12">
      <x:c r="A12" t="n">
        <x:v>11</x:v>
      </x:c>
      <x:c r="B12" s="20" t="n">
        <x:v>27.496173563218388</x:v>
      </x:c>
      <x:c r="C12" s="20" t="n">
        <x:v>31.786235632183907</x:v>
      </x:c>
      <x:c r="D12" s="20" t="n">
        <x:v>23.205621839080457</x:v>
      </x:c>
    </x:row>
    <x:row r="13">
      <x:c r="A13" t="n">
        <x:v>12</x:v>
      </x:c>
      <x:c r="B13" s="20" t="n">
        <x:v>27.216973635423372</x:v>
      </x:c>
      <x:c r="C13" s="20" t="n">
        <x:v>32.05393985519974</x:v>
      </x:c>
      <x:c r="D13" s="20" t="n">
        <x:v>22.380543293718166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0" customHeight="1">
      <x:c r="A1" s="6" t="str">
        <x:v>mes</x:v>
      </x:c>
      <x:c r="B1" s="6" t="str">
        <x:v>humedad_relativa</x:v>
      </x:c>
      <x:c r="C1" s="6" t="str">
        <x:v>humedad_minima_inferida</x:v>
      </x:c>
      <x:c r="D1" s="6" t="str">
        <x:v>humedad_maxima</x:v>
      </x:c>
    </x:row>
    <x:row r="2">
      <x:c r="A2" t="n">
        <x:v>1</x:v>
      </x:c>
      <x:c r="B2" s="20" t="n">
        <x:v>72.14811086392288</x:v>
      </x:c>
      <x:c r="C2" s="20" t="n">
        <x:v>53.60523173896922</x:v>
      </x:c>
      <x:c r="D2" s="20" t="n">
        <x:v>90.69098998887652</x:v>
      </x:c>
    </x:row>
    <x:row r="3">
      <x:c r="A3" t="n">
        <x:v>2</x:v>
      </x:c>
      <x:c r="B3" s="20" t="n">
        <x:v>67.98292797161332</x:v>
      </x:c>
      <x:c r="C3" s="20" t="n">
        <x:v>48.61048084259291</x:v>
      </x:c>
      <x:c r="D3" s="20" t="n">
        <x:v>87.35537510063372</x:v>
      </x:c>
    </x:row>
    <x:row r="4">
      <x:c r="A4" t="n">
        <x:v>3</x:v>
      </x:c>
      <x:c r="B4" s="20" t="n">
        <x:v>68.01203774174033</x:v>
      </x:c>
      <x:c r="C4" s="20" t="n">
        <x:v>49.71259293952345</x:v>
      </x:c>
      <x:c r="D4" s="20" t="n">
        <x:v>86.31148254395721</x:v>
      </x:c>
    </x:row>
    <x:row r="5">
      <x:c r="A5" t="n">
        <x:v>4</x:v>
      </x:c>
      <x:c r="B5" s="20" t="n">
        <x:v>77.82787356321839</x:v>
      </x:c>
      <x:c r="C5" s="20" t="n">
        <x:v>62.83914095583787</x:v>
      </x:c>
      <x:c r="D5" s="20" t="n">
        <x:v>92.8166061705989</x:v>
      </x:c>
    </x:row>
    <x:row r="6">
      <x:c r="A6" t="n">
        <x:v>5</x:v>
      </x:c>
      <x:c r="B6" s="20" t="n">
        <x:v>83.72765294771969</x:v>
      </x:c>
      <x:c r="C6" s="20" t="n">
        <x:v>72.01990915832405</x:v>
      </x:c>
      <x:c r="D6" s="20" t="n">
        <x:v>95.43539673711533</x:v>
      </x:c>
    </x:row>
    <x:row r="7">
      <x:c r="A7" t="n">
        <x:v>6</x:v>
      </x:c>
      <x:c r="B7" s="20" t="n">
        <x:v>86.80483442802408</x:v>
      </x:c>
      <x:c r="C7" s="20" t="n">
        <x:v>77.17960956029921</x:v>
      </x:c>
      <x:c r="D7" s="20" t="n">
        <x:v>96.43005929574895</x:v>
      </x:c>
    </x:row>
    <x:row r="8">
      <x:c r="A8" t="n">
        <x:v>7</x:v>
      </x:c>
      <x:c r="B8" s="20" t="n">
        <x:v>86.2439404894327</x:v>
      </x:c>
      <x:c r="C8" s="20" t="n">
        <x:v>75.90512977382276</x:v>
      </x:c>
      <x:c r="D8" s="20" t="n">
        <x:v>96.58275120504264</x:v>
      </x:c>
    </x:row>
    <x:row r="9">
      <x:c r="A9" t="n">
        <x:v>8</x:v>
      </x:c>
      <x:c r="B9" s="20" t="n">
        <x:v>84.75982865952423</x:v>
      </x:c>
      <x:c r="C9" s="20" t="n">
        <x:v>73.06997053256055</x:v>
      </x:c>
      <x:c r="D9" s="20" t="n">
        <x:v>96.44968678648792</x:v>
      </x:c>
    </x:row>
    <x:row r="10">
      <x:c r="A10" t="n">
        <x:v>9</x:v>
      </x:c>
      <x:c r="B10" s="20" t="n">
        <x:v>83.22788900192761</x:v>
      </x:c>
      <x:c r="C10" s="20" t="n">
        <x:v>70.33787891768402</x:v>
      </x:c>
      <x:c r="D10" s="20" t="n">
        <x:v>96.1178990861712</x:v>
      </x:c>
    </x:row>
    <x:row r="11">
      <x:c r="A11" t="n">
        <x:v>10</x:v>
      </x:c>
      <x:c r="B11" s="20" t="n">
        <x:v>82.10840407470289</x:v>
      </x:c>
      <x:c r="C11" s="20" t="n">
        <x:v>68.9468024900962</x:v>
      </x:c>
      <x:c r="D11" s="20" t="n">
        <x:v>95.27000565930956</x:v>
      </x:c>
    </x:row>
    <x:row r="12">
      <x:c r="A12" t="n">
        <x:v>11</x:v>
      </x:c>
      <x:c r="B12" s="20" t="n">
        <x:v>81.81758210180624</x:v>
      </x:c>
      <x:c r="C12" s="20" t="n">
        <x:v>68.40017651888341</x:v>
      </x:c>
      <x:c r="D12" s="20" t="n">
        <x:v>95.23498768472906</x:v>
      </x:c>
    </x:row>
    <x:row r="13">
      <x:c r="A13" t="n">
        <x:v>12</x:v>
      </x:c>
      <x:c r="B13" s="20" t="n">
        <x:v>78.18854380110454</x:v>
      </x:c>
      <x:c r="C13" s="20" t="n">
        <x:v>62.53286887965186</x:v>
      </x:c>
      <x:c r="D13" s="20" t="n">
        <x:v>93.84421872255723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6" t="str">
        <x:v>mes</x:v>
      </x:c>
      <x:c r="B1" s="6" t="str">
        <x:v>Mes</x:v>
      </x:c>
      <x:c r="C1" s="6" t="str">
        <x:v>Precipitacion_media_mensual</x:v>
      </x:c>
      <x:c r="D1" s="6" t="str">
        <x:v>Temperatura_media</x:v>
      </x:c>
      <x:c r="E1" s="6" t="str">
        <x:v>Temperatura_maxima</x:v>
      </x:c>
      <x:c r="F1" s="6" t="str">
        <x:v>Temperatura_minima</x:v>
      </x:c>
      <x:c r="G1" s="6" t="str">
        <x:v>Humedad_relativa</x:v>
      </x:c>
    </x:row>
    <x:row r="2">
      <x:c r="A2" t="n">
        <x:v>1</x:v>
      </x:c>
      <x:c r="B2" t="str">
        <x:v>Enero</x:v>
      </x:c>
      <x:c r="C2" s="20" t="n">
        <x:v>22.182608695652174</x:v>
      </x:c>
      <x:c r="D2" s="20" t="n">
        <x:v>27.245747311827955</x:v>
      </x:c>
      <x:c r="E2" s="20" t="n">
        <x:v>33.3023064516129</x:v>
      </x:c>
      <x:c r="F2" s="20" t="n">
        <x:v>21.1891935483871</x:v>
      </x:c>
      <x:c r="G2" s="20" t="n">
        <x:v>72.14811086392288</x:v>
      </x:c>
    </x:row>
    <x:row r="3">
      <x:c r="A3" t="n">
        <x:v>2</x:v>
      </x:c>
      <x:c r="B3" t="str">
        <x:v>Febrero</x:v>
      </x:c>
      <x:c r="C3" s="20" t="n">
        <x:v>7.843478260869565</x:v>
      </x:c>
      <x:c r="D3" s="20" t="n">
        <x:v>28.04142752761287</x:v>
      </x:c>
      <x:c r="E3" s="20" t="n">
        <x:v>34.447469089020814</x:v>
      </x:c>
      <x:c r="F3" s="20" t="n">
        <x:v>21.63535486225141</x:v>
      </x:c>
      <x:c r="G3" s="20" t="n">
        <x:v>67.98292797161332</x:v>
      </x:c>
    </x:row>
    <x:row r="4">
      <x:c r="A4" t="n">
        <x:v>3</x:v>
      </x:c>
      <x:c r="B4" t="str">
        <x:v>Marzo</x:v>
      </x:c>
      <x:c r="C4" s="20" t="n">
        <x:v>37.02608695652174</x:v>
      </x:c>
      <x:c r="D4" s="20" t="n">
        <x:v>28.64454569892473</x:v>
      </x:c>
      <x:c r="E4" s="20" t="n">
        <x:v>34.671242703533025</x:v>
      </x:c>
      <x:c r="F4" s="20" t="n">
        <x:v>22.612922691879866</x:v>
      </x:c>
      <x:c r="G4" s="20" t="n">
        <x:v>68.01203774174033</x:v>
      </x:c>
    </x:row>
    <x:row r="5">
      <x:c r="A5" t="n">
        <x:v>4</x:v>
      </x:c>
      <x:c r="B5" t="str">
        <x:v>Abril</x:v>
      </x:c>
      <x:c r="C5" s="20" t="n">
        <x:v>163.79583333333332</x:v>
      </x:c>
      <x:c r="D5" s="20" t="n">
        <x:v>27.99387643678161</x:v>
      </x:c>
      <x:c r="E5" s="20" t="n">
        <x:v>32.987954022988504</x:v>
      </x:c>
      <x:c r="F5" s="20" t="n">
        <x:v>22.990689655172414</x:v>
      </x:c>
      <x:c r="G5" s="20" t="n">
        <x:v>77.82787356321839</x:v>
      </x:c>
    </x:row>
    <x:row r="6">
      <x:c r="A6" t="n">
        <x:v>5</x:v>
      </x:c>
      <x:c r="B6" t="str">
        <x:v>Mayo</x:v>
      </x:c>
      <x:c r="C6" s="20" t="n">
        <x:v>237.088</x:v>
      </x:c>
      <x:c r="D6" s="20" t="n">
        <x:v>27.26779810901001</x:v>
      </x:c>
      <x:c r="E6" s="20" t="n">
        <x:v>31.434462736373746</x:v>
      </x:c>
      <x:c r="F6" s="20" t="n">
        <x:v>23.094483870967743</x:v>
      </x:c>
      <x:c r="G6" s="20" t="n">
        <x:v>83.72765294771969</x:v>
      </x:c>
    </x:row>
    <x:row r="7">
      <x:c r="A7" t="n">
        <x:v>6</x:v>
      </x:c>
      <x:c r="B7" t="str">
        <x:v>Junio</x:v>
      </x:c>
      <x:c r="C7" s="20" t="n">
        <x:v>271.66521739130434</x:v>
      </x:c>
      <x:c r="D7" s="20" t="n">
        <x:v>26.48550223499361</x:v>
      </x:c>
      <x:c r="E7" s="20" t="n">
        <x:v>30.215543513957307</x:v>
      </x:c>
      <x:c r="F7" s="20" t="n">
        <x:v>22.76015435139573</x:v>
      </x:c>
      <x:c r="G7" s="20" t="n">
        <x:v>86.80483442802408</x:v>
      </x:c>
    </x:row>
    <x:row r="8">
      <x:c r="A8" t="n">
        <x:v>7</x:v>
      </x:c>
      <x:c r="B8" t="str">
        <x:v>Julio</x:v>
      </x:c>
      <x:c r="C8" s="20" t="n">
        <x:v>234.74166666666667</x:v>
      </x:c>
      <x:c r="D8" s="20" t="n">
        <x:v>26.451898836155397</x:v>
      </x:c>
      <x:c r="E8" s="20" t="n">
        <x:v>30.232163594470045</x:v>
      </x:c>
      <x:c r="F8" s="20" t="n">
        <x:v>22.65853811112877</x:v>
      </x:c>
      <x:c r="G8" s="20" t="n">
        <x:v>86.2439404894327</x:v>
      </x:c>
    </x:row>
    <x:row r="9">
      <x:c r="A9" t="n">
        <x:v>8</x:v>
      </x:c>
      <x:c r="B9" t="str">
        <x:v>Agosto</x:v>
      </x:c>
      <x:c r="C9" s="20" t="n">
        <x:v>220.236</x:v>
      </x:c>
      <x:c r="D9" s="20" t="n">
        <x:v>26.87350594227504</x:v>
      </x:c>
      <x:c r="E9" s="20" t="n">
        <x:v>30.970967741935485</x:v>
      </x:c>
      <x:c r="F9" s="20" t="n">
        <x:v>22.778200339558573</x:v>
      </x:c>
      <x:c r="G9" s="20" t="n">
        <x:v>84.75982865952423</x:v>
      </x:c>
    </x:row>
    <x:row r="10">
      <x:c r="A10" t="n">
        <x:v>9</x:v>
      </x:c>
      <x:c r="B10" t="str">
        <x:v>Septiembre</x:v>
      </x:c>
      <x:c r="C10" s="20" t="n">
        <x:v>187.868</x:v>
      </x:c>
      <x:c r="D10" s="20" t="n">
        <x:v>27.3454105090312</x:v>
      </x:c>
      <x:c r="E10" s="20" t="n">
        <x:v>31.783718390804598</x:v>
      </x:c>
      <x:c r="F10" s="20" t="n">
        <x:v>22.914495484400657</x:v>
      </x:c>
      <x:c r="G10" s="20" t="n">
        <x:v>83.22788900192761</x:v>
      </x:c>
    </x:row>
    <x:row r="11">
      <x:c r="A11" t="n">
        <x:v>10</x:v>
      </x:c>
      <x:c r="B11" t="str">
        <x:v>Octubre</x:v>
      </x:c>
      <x:c r="C11" s="20" t="n">
        <x:v>150.82</x:v>
      </x:c>
      <x:c r="D11" s="20" t="n">
        <x:v>27.57576663885799</x:v>
      </x:c>
      <x:c r="E11" s="20" t="n">
        <x:v>32.026135891731556</x:v>
      </x:c>
      <x:c r="F11" s="20" t="n">
        <x:v>23.12350370782351</x:v>
      </x:c>
      <x:c r="G11" s="20" t="n">
        <x:v>82.10840407470289</x:v>
      </x:c>
    </x:row>
    <x:row r="12">
      <x:c r="A12" t="n">
        <x:v>11</x:v>
      </x:c>
      <x:c r="B12" t="str">
        <x:v>Noviembre</x:v>
      </x:c>
      <x:c r="C12" s="20" t="n">
        <x:v>88.09166666666665</x:v>
      </x:c>
      <x:c r="D12" s="20" t="n">
        <x:v>27.496173563218388</x:v>
      </x:c>
      <x:c r="E12" s="20" t="n">
        <x:v>31.786235632183907</x:v>
      </x:c>
      <x:c r="F12" s="20" t="n">
        <x:v>23.205621839080457</x:v>
      </x:c>
      <x:c r="G12" s="20" t="n">
        <x:v>81.81758210180624</x:v>
      </x:c>
    </x:row>
    <x:row r="13">
      <x:c r="A13" t="n">
        <x:v>12</x:v>
      </x:c>
      <x:c r="B13" t="str">
        <x:v>Diciembre</x:v>
      </x:c>
      <x:c r="C13" s="20" t="n">
        <x:v>25.5</x:v>
      </x:c>
      <x:c r="D13" s="20" t="n">
        <x:v>27.216973635423372</x:v>
      </x:c>
      <x:c r="E13" s="20" t="n">
        <x:v>32.05393985519974</x:v>
      </x:c>
      <x:c r="F13" s="20" t="n">
        <x:v>22.380543293718166</x:v>
      </x:c>
      <x:c r="G13" s="20" t="n">
        <x:v>78.18854380110454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0" customHeight="1">
      <x:c r="A1" s="6" t="str">
        <x:v>mes</x:v>
      </x:c>
      <x:c r="B1" s="6" t="str">
        <x:v>MATEZAMURO_37050040</x:v>
      </x:c>
      <x:c r="C1" s="6" t="str">
        <x:v>VILLANUEVA_37050050</x:v>
      </x:c>
      <x:c r="D1" s="6" t="str">
        <x:v>AEROPUERTO_37055010</x:v>
      </x:c>
    </x:row>
    <x:row r="2">
      <x:c r="A2" t="n">
        <x:v>1</x:v>
      </x:c>
      <x:c r="B2" s="20" t="n">
        <x:v>22.182608695652174</x:v>
      </x:c>
      <x:c r="C2" s="20" t="n">
        <x:v>12.769565217391303</x:v>
      </x:c>
      <x:c r="D2" s="20" t="n">
        <x:v>17.75263157894737</x:v>
      </x:c>
    </x:row>
    <x:row r="3">
      <x:c r="A3" t="n">
        <x:v>2</x:v>
      </x:c>
      <x:c r="B3" s="20" t="n">
        <x:v>7.843478260869565</x:v>
      </x:c>
      <x:c r="C3" s="20" t="n">
        <x:v>24.608695652173914</x:v>
      </x:c>
      <x:c r="D3" s="20" t="n">
        <x:v>10.810526315789474</x:v>
      </x:c>
    </x:row>
    <x:row r="4">
      <x:c r="A4" t="n">
        <x:v>3</x:v>
      </x:c>
      <x:c r="B4" s="20" t="n">
        <x:v>37.02608695652174</x:v>
      </x:c>
      <x:c r="C4" s="20" t="n">
        <x:v>36.375</x:v>
      </x:c>
      <x:c r="D4" s="20" t="n">
        <x:v>62.50526315789473</x:v>
      </x:c>
    </x:row>
    <x:row r="5">
      <x:c r="A5" t="n">
        <x:v>4</x:v>
      </x:c>
      <x:c r="B5" s="20" t="n">
        <x:v>163.79583333333332</x:v>
      </x:c>
      <x:c r="C5" s="20" t="n">
        <x:v>163.33333333333334</x:v>
      </x:c>
      <x:c r="D5" s="20" t="n">
        <x:v>161.06842105263158</x:v>
      </x:c>
    </x:row>
    <x:row r="6">
      <x:c r="A6" t="n">
        <x:v>5</x:v>
      </x:c>
      <x:c r="B6" s="20" t="n">
        <x:v>237.088</x:v>
      </x:c>
      <x:c r="C6" s="20" t="n">
        <x:v>236.2</x:v>
      </x:c>
      <x:c r="D6" s="20" t="n">
        <x:v>285.64736842105265</x:v>
      </x:c>
    </x:row>
    <x:row r="7">
      <x:c r="A7" t="n">
        <x:v>6</x:v>
      </x:c>
      <x:c r="B7" s="20" t="n">
        <x:v>271.66521739130434</x:v>
      </x:c>
      <x:c r="C7" s="20" t="n">
        <x:v>312.4166666666667</x:v>
      </x:c>
      <x:c r="D7" s="20" t="n">
        <x:v>308.17368421052635</x:v>
      </x:c>
    </x:row>
    <x:row r="8">
      <x:c r="A8" t="n">
        <x:v>7</x:v>
      </x:c>
      <x:c r="B8" s="20" t="n">
        <x:v>234.74166666666667</x:v>
      </x:c>
      <x:c r="C8" s="20" t="n">
        <x:v>283.12</x:v>
      </x:c>
      <x:c r="D8" s="20" t="n">
        <x:v>286.14736842105265</x:v>
      </x:c>
    </x:row>
    <x:row r="9">
      <x:c r="A9" t="n">
        <x:v>8</x:v>
      </x:c>
      <x:c r="B9" s="20" t="n">
        <x:v>220.236</x:v>
      </x:c>
      <x:c r="C9" s="20" t="n">
        <x:v>208.952</x:v>
      </x:c>
      <x:c r="D9" s="20" t="n">
        <x:v>204.74444444444444</x:v>
      </x:c>
    </x:row>
    <x:row r="10">
      <x:c r="A10" t="n">
        <x:v>9</x:v>
      </x:c>
      <x:c r="B10" s="20" t="n">
        <x:v>187.868</x:v>
      </x:c>
      <x:c r="C10" s="20" t="n">
        <x:v>222.64</x:v>
      </x:c>
      <x:c r="D10" s="20" t="n">
        <x:v>186.6315789473684</x:v>
      </x:c>
    </x:row>
    <x:row r="11">
      <x:c r="A11" t="n">
        <x:v>10</x:v>
      </x:c>
      <x:c r="B11" s="20" t="n">
        <x:v>150.82</x:v>
      </x:c>
      <x:c r="C11" s="20" t="n">
        <x:v>162.32</x:v>
      </x:c>
      <x:c r="D11" s="20" t="n">
        <x:v>161.81578947368422</x:v>
      </x:c>
    </x:row>
    <x:row r="12">
      <x:c r="A12" t="n">
        <x:v>11</x:v>
      </x:c>
      <x:c r="B12" s="20" t="n">
        <x:v>88.09166666666665</x:v>
      </x:c>
      <x:c r="C12" s="20" t="n">
        <x:v>92.96</x:v>
      </x:c>
      <x:c r="D12" s="20" t="n">
        <x:v>101.0842105263158</x:v>
      </x:c>
    </x:row>
    <x:row r="13">
      <x:c r="A13" t="n">
        <x:v>12</x:v>
      </x:c>
      <x:c r="B13" s="20" t="n">
        <x:v>25.5</x:v>
      </x:c>
      <x:c r="C13" s="20" t="n">
        <x:v>24.44</x:v>
      </x:c>
      <x:c r="D13" s="20" t="n">
        <x:v>33.03888888888889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6" t="str">
        <x:v>Tema</x:v>
      </x:c>
      <x:c r="B1" s="6" t="str">
        <x:v>Criterio aplicado</x:v>
      </x:c>
    </x:row>
    <x:row r="2">
      <x:c r="A2" s="29" t="str">
        <x:v>Precipitación principal</x:v>
      </x:c>
      <x:c r="B2" s="14" t="str">
        <x:v>MATEZAMURO [37050040] por equilibrio entre cercanía (~12.7 km) y completitud (~96.5 %). Aeropuerto y Villanueva se conservan para contraste.</x:v>
      </x:c>
    </x:row>
    <x:row r="3">
      <x:c r="A3" s="29" t="str">
        <x:v>Ceros de precipitación</x:v>
      </x:c>
      <x:c r="B3" s="14" t="str">
        <x:v>Se conservan: 0 mm representa un día sin lluvia y es un dato válido.</x:v>
      </x:c>
    </x:row>
    <x:row r="4">
      <x:c r="A4" s="29" t="str">
        <x:v>Temperatura media</x:v>
      </x:c>
      <x:c r="B4" s="14" t="str">
        <x:v>Se estima por día como (Tmax + Tmin)/2 únicamente cuando ambos extremos están disponibles. No se presenta como observación directa IDEAM.</x:v>
      </x:c>
    </x:row>
    <x:row r="5">
      <x:c r="A5" s="33" t="str">
        <x:v>Humedad relativa media</x:v>
      </x:c>
      <x:c r="B5" s="25" t="str">
        <x:v>Se estima como (HR mínima inferida + HR máxima)/2. La identificación de la serie mínima es una inferencia por distribución de valores debido a que ambas hojas DHIME aparecen rotuladas como máxima.</x:v>
      </x:c>
    </x:row>
    <x:row r="6">
      <x:c r="A6" s="29" t="str">
        <x:v>Agregación mensual</x:v>
      </x:c>
      <x:c r="B6" s="14" t="str">
        <x:v>Un mes se usa si tiene al menos 75 % de los días esperados. P: suma mensual; T y HR: promedio mensual.</x:v>
      </x:c>
    </x:row>
    <x:row r="7">
      <x:c r="A7" s="29" t="str">
        <x:v>Régimen mensual</x:v>
      </x:c>
      <x:c r="B7" s="14" t="str">
        <x:v>Promedio multianual de los meses válidos para cada mes calendario.</x:v>
      </x:c>
    </x:row>
    <x:row r="8">
      <x:c r="A8" s="29" t="str">
        <x:v>P anual</x:v>
      </x:c>
      <x:c r="B8" s="14" t="str">
        <x:v>Se suma únicamente si el año tiene al menos 90 % de los días disponibles.</x:v>
      </x:c>
    </x:row>
    <x:row r="9">
      <x:c r="A9" s="29" t="str">
        <x:v>Uso en SIAMS</x:v>
      </x:c>
      <x:c r="B9" s="14" t="str">
        <x:v>Las hojas Climatologia, Indicadores, Control_faltantes y Fuentes replican el contrato usado por el Excel IDEAM de Tumaco. Las series diarias se conservan para tendencias (Mann-Kendall + Sen).</x:v>
      </x:c>
    </x:row>
    <x:row r="10">
      <x:c r="A10" s="29" t="str">
        <x:v>Fuente</x:v>
      </x:c>
      <x:c r="B10" s="14" t="str">
        <x:v>IDEAM / DHIME. Archivos descargados en julio de 2026 suministrados por el usuario.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</x:cols>
  <x:sheetData>
    <x:row r="1">
      <x:c r="A1" s="6" t="str">
        <x:v>Chequeo</x:v>
      </x:c>
      <x:c r="B1" s="6" t="str">
        <x:v>Fórmula Excel</x:v>
      </x:c>
      <x:c r="C1" s="6" t="str">
        <x:v>Referencia</x:v>
      </x:c>
    </x:row>
    <x:row r="2">
      <x:c r="A2" t="str">
        <x:v>Total régimen P</x:v>
      </x:c>
      <x:c r="B2" t="n">
        <x:f>SUM(Regimen_P!B2:B13)</x:f>
        <x:v>1646.8585579710143</x:v>
      </x:c>
      <x:c r="C2" t="str">
        <x:v>≈1646.86 mm/año</x:v>
      </x:c>
    </x:row>
    <x:row r="3">
      <x:c r="A3" t="str">
        <x:v>Promedio T media</x:v>
      </x:c>
      <x:c r="B3" t="n">
        <x:f>AVERAGE(Regimen_T!B2:B13)</x:f>
        <x:v>27.38655220367602</x:v>
      </x:c>
      <x:c r="C3" t="str">
        <x:v>≈27.4 °C</x:v>
      </x:c>
    </x:row>
    <x:row r="4">
      <x:c r="A4" t="str">
        <x:v>Promedio HR media</x:v>
      </x:c>
      <x:c r="B4" t="n">
        <x:f>AVERAGE(Regimen_HR!B2:B13)</x:f>
        <x:v>79.40413547039473</x:v>
      </x:c>
      <x:c r="C4" t="str">
        <x:v>≈79.5 %</x:v>
      </x:c>
    </x:row>
    <x:row r="5">
      <x:c r="A5" t="str">
        <x:v>Meses climatología</x:v>
      </x:c>
      <x:c r="B5" t="n">
        <x:f>COUNTA(Climatologia!A2:A13)</x:f>
        <x:v>12</x:v>
      </x:c>
      <x:c r="C5" t="n">
        <x:v>12</x:v>
      </x:c>
    </x:row>
  </x:sheetData>
  <x:pageMargins left="0.7" right="0.7" top="0.75" bottom="0.75" header="0.3" footer="0.3"/>
</x:worksheet>
</file>