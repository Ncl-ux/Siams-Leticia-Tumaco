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_largo" sheetId="2" state="visible" r:id="rId2"/>
    <sheet xmlns:r="http://schemas.openxmlformats.org/officeDocument/2006/relationships" name="muestras" sheetId="3" state="visible" r:id="rId3"/>
    <sheet xmlns:r="http://schemas.openxmlformats.org/officeDocument/2006/relationships" name="diccionario" sheetId="4" state="visible" r:id="rId4"/>
    <sheet xmlns:r="http://schemas.openxmlformats.org/officeDocument/2006/relationships" name="parametros" sheetId="5" state="visible" r:id="rId5"/>
    <sheet xmlns:r="http://schemas.openxmlformats.org/officeDocument/2006/relationships" name="matriz_valor" sheetId="6" state="visible" r:id="rId6"/>
    <sheet xmlns:r="http://schemas.openxmlformats.org/officeDocument/2006/relationships" name="matriz_signo" sheetId="7" state="visible" r:id="rId7"/>
    <sheet xmlns:r="http://schemas.openxmlformats.org/officeDocument/2006/relationships" name="IRCA" sheetId="8" state="visible" r:id="rId8"/>
    <sheet xmlns:r="http://schemas.openxmlformats.org/officeDocument/2006/relationships" name="hidroquimica" sheetId="9" state="visible" r:id="rId9"/>
    <sheet xmlns:r="http://schemas.openxmlformats.org/officeDocument/2006/relationships" name="conversiones" sheetId="10" state="visible" r:id="rId10"/>
    <sheet xmlns:r="http://schemas.openxmlformats.org/officeDocument/2006/relationships" name="inventario_sedes" sheetId="11" state="visible" r:id="rId11"/>
    <sheet xmlns:r="http://schemas.openxmlformats.org/officeDocument/2006/relationships" name="discrepanci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0"/>
    </font>
    <font>
      <b val="1"/>
      <color rgb="00FFFFFF"/>
    </font>
    <font>
      <b val="1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0B4F6C"/>
      </patternFill>
    </fill>
    <fill>
      <patternFill patternType="solid">
        <fgColor rgb="00FFF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datos_largo" displayName="datos_largo" ref="A1:V224" headerRowCount="1">
  <autoFilter ref="A1:V224"/>
  <tableColumns count="22">
    <tableColumn id="1" name="sede"/>
    <tableColumn id="2" name="punto"/>
    <tableColumn id="3" name="nombre_punto"/>
    <tableColumn id="4" name="grupo_punto"/>
    <tableColumn id="5" name="tipo_agua"/>
    <tableColumn id="6" name="fecha"/>
    <tableColumn id="7" name="fecha_uso"/>
    <tableColumn id="8" name="campana"/>
    <tableColumn id="9" name="parametro"/>
    <tableColumn id="10" name="parametro_informe"/>
    <tableColumn id="11" name="valor"/>
    <tableColumn id="12" name="signo"/>
    <tableColumn id="13" name="LD"/>
    <tableColumn id="14" name="valor_texto"/>
    <tableColumn id="15" name="unidad"/>
    <tableColumn id="16" name="expresado_como"/>
    <tableColumn id="17" name="metodo"/>
    <tableColumn id="18" name="fecha_analisis"/>
    <tableColumn id="19" name="laboratorio"/>
    <tableColumn id="20" name="informe"/>
    <tableColumn id="21" name="fuente"/>
    <tableColumn id="22" name="bandera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Base de datos fisicoquímica SIAMS – plantilla del taller</t>
        </is>
      </c>
    </row>
    <row r="2">
      <c r="A2" s="2" t="inlineStr">
        <is>
          <t>Datos reales: Sede Amazonia (Leticia). Tratar como datos de trabajo confidenciales del semillero; no publicar puntos ni resultados sin autorización.</t>
        </is>
      </c>
    </row>
    <row r="3">
      <c r="A3" s="2" t="inlineStr"/>
    </row>
    <row r="4">
      <c r="A4" s="3" t="inlineStr">
        <is>
          <t>Hojas</t>
        </is>
      </c>
    </row>
    <row r="5">
      <c r="A5" s="2" t="inlineStr">
        <is>
          <t>datos_largo: una fila por resultado (sede, punto, fecha, parámetro, valor, unidad, signo, LD, método, laboratorio, informe, fuente, bandera). Es la tabla maestra.</t>
        </is>
      </c>
    </row>
    <row r="6">
      <c r="A6" s="2" t="inlineStr">
        <is>
          <t>muestras: una fila por informe con los metadatos del encabezado y las observaciones de calidad.</t>
        </is>
      </c>
    </row>
    <row r="7">
      <c r="A7" s="2" t="inlineStr">
        <is>
          <t>diccionario: qué significa cada columna de datos_largo y qué valores admite.</t>
        </is>
      </c>
    </row>
    <row r="8">
      <c r="A8" s="2" t="inlineStr">
        <is>
          <t>parametros: catálogo de parámetros, unidades, método, límite de la Resolución 2115 de 2007 y puntaje IRCA.</t>
        </is>
      </c>
    </row>
    <row r="9">
      <c r="A9" s="2" t="inlineStr">
        <is>
          <t>matriz_valor / matriz_signo: la misma información en formato ancho (parámetro × informe), generada desde datos_largo.</t>
        </is>
      </c>
    </row>
    <row r="10">
      <c r="A10" s="2" t="inlineStr">
        <is>
          <t>IRCA: cálculo con fórmulas (Cuadro 6 y art. 14 de la Res. 2115/2007) por informe. IRCA = Σ puntajes no aceptables / Σ puntajes analizados × 100.</t>
        </is>
      </c>
    </row>
    <row r="11">
      <c r="A11" s="2" t="inlineStr">
        <is>
          <t>hidroquimica: HCO3- y CO3 2- desde alcalinidad y pH, meq/L, balance iónico y Na+K por diferencia, con fórmulas.</t>
        </is>
      </c>
    </row>
    <row r="12">
      <c r="A12" s="2" t="inlineStr">
        <is>
          <t>conversiones: calculadora mg/L ↔ mmol/L ↔ meq/L y conversiones de expresión (N-NO3 → NO3, CaCO3 → HCO3, dureza). Celdas amarillas = entrada.</t>
        </is>
      </c>
    </row>
    <row r="13">
      <c r="A13" s="2" t="inlineStr">
        <is>
          <t>inventario_sedes: qué datos fisicoquímicos hay en el repositorio SIAMS para cada sede.</t>
        </is>
      </c>
    </row>
    <row r="14">
      <c r="A14" s="2" t="inlineStr">
        <is>
          <t>discrepancias: diferencias entre la hoja de transcripción del semillero y los PDF.</t>
        </is>
      </c>
    </row>
    <row r="15">
      <c r="A15" s="2" t="inlineStr"/>
    </row>
    <row r="16">
      <c r="A16" s="3" t="inlineStr">
        <is>
          <t>Decisiones</t>
        </is>
      </c>
    </row>
    <row r="17">
      <c r="A17" s="2" t="inlineStr">
        <is>
          <t>1. Valores "&lt;LD": se guarda signo "&lt;" y LD = número del informe. Para IRCA: si el LD convertido es ≤ al valor máximo aceptable, la característica cumple; si el LD es mayor, queda "no concluyente" (se reporta IRCA con y sin esas características). Para balance iónico se usa LD/2.</t>
        </is>
      </c>
    </row>
    <row r="18">
      <c r="A18" s="2" t="inlineStr">
        <is>
          <t>2. Nitratos y nitritos vienen "como N". La Res. 2115 fija 10 mg/L como NO3- y 0,1 mg/L como NO2-: se multiplica por 4,4266 y 3,2845 antes de comparar.</t>
        </is>
      </c>
    </row>
    <row r="19">
      <c r="A19" s="2" t="inlineStr">
        <is>
          <t>3. Ca y Mg para meq/L se toman de la dureza cálcica y magnésica (mg/L CaCO3 ÷ 50,043), porque el informe da Ca y Mg redondeados a enteros.</t>
        </is>
      </c>
    </row>
    <row r="20">
      <c r="A20" s="2" t="inlineStr">
        <is>
          <t>4. Campaña = mes de registro en el laboratorio. En 40015 la fecha de muestreo del informe (2026-06-18 9:30) es idéntica a la de 39915; fecha_uso = 2026-08-20 (supuesto, confirmar).</t>
        </is>
      </c>
    </row>
    <row r="21">
      <c r="A21" s="2" t="inlineStr">
        <is>
          <t>5. grupo_punto agrupa informes del mismo pozo para series de tiempo. Es una hipótesis (nombre del punto y semejanza química); confirmar con quien tomó las muestras.</t>
        </is>
      </c>
    </row>
    <row r="22">
      <c r="A22" s="2" t="inlineStr">
        <is>
          <t>6. Campaña 2026-01 (39741–39743): no hay PDF; viene de la transcripción del semillero. Se marcó fuente secundaria y los "&lt;" inferidos.</t>
        </is>
      </c>
    </row>
    <row r="23">
      <c r="A23" s="2" t="inlineStr">
        <is>
          <t>7. El IRCA se definió para agua para consumo humano. Aquí se aplica a agua cruda de pozo como ejercicio de tamizaje, no como concepto sanitario oficial.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30" customWidth="1" min="19" max="19"/>
    <col width="14" customWidth="1" min="20" max="20"/>
    <col width="34" customWidth="1" min="21" max="21"/>
    <col width="40" customWidth="1" min="22" max="22"/>
  </cols>
  <sheetData>
    <row r="1">
      <c r="A1" s="4" t="inlineStr">
        <is>
          <t>sede</t>
        </is>
      </c>
      <c r="B1" s="4" t="inlineStr">
        <is>
          <t>punto</t>
        </is>
      </c>
      <c r="C1" s="4" t="inlineStr">
        <is>
          <t>nombre_punto</t>
        </is>
      </c>
      <c r="D1" s="4" t="inlineStr">
        <is>
          <t>grupo_punto</t>
        </is>
      </c>
      <c r="E1" s="4" t="inlineStr">
        <is>
          <t>tipo_agua</t>
        </is>
      </c>
      <c r="F1" s="4" t="inlineStr">
        <is>
          <t>fecha</t>
        </is>
      </c>
      <c r="G1" s="4" t="inlineStr">
        <is>
          <t>fecha_uso</t>
        </is>
      </c>
      <c r="H1" s="4" t="inlineStr">
        <is>
          <t>campana</t>
        </is>
      </c>
      <c r="I1" s="4" t="inlineStr">
        <is>
          <t>parametro</t>
        </is>
      </c>
      <c r="J1" s="4" t="inlineStr">
        <is>
          <t>parametro_informe</t>
        </is>
      </c>
      <c r="K1" s="4" t="inlineStr">
        <is>
          <t>valor</t>
        </is>
      </c>
      <c r="L1" s="4" t="inlineStr">
        <is>
          <t>signo</t>
        </is>
      </c>
      <c r="M1" s="4" t="inlineStr">
        <is>
          <t>LD</t>
        </is>
      </c>
      <c r="N1" s="4" t="inlineStr">
        <is>
          <t>valor_texto</t>
        </is>
      </c>
      <c r="O1" s="4" t="inlineStr">
        <is>
          <t>unidad</t>
        </is>
      </c>
      <c r="P1" s="4" t="inlineStr">
        <is>
          <t>expresado_como</t>
        </is>
      </c>
      <c r="Q1" s="4" t="inlineStr">
        <is>
          <t>metodo</t>
        </is>
      </c>
      <c r="R1" s="4" t="inlineStr">
        <is>
          <t>fecha_analisis</t>
        </is>
      </c>
      <c r="S1" s="4" t="inlineStr">
        <is>
          <t>laboratorio</t>
        </is>
      </c>
      <c r="T1" s="4" t="inlineStr">
        <is>
          <t>informe</t>
        </is>
      </c>
      <c r="U1" s="4" t="inlineStr">
        <is>
          <t>fuente</t>
        </is>
      </c>
      <c r="V1" s="4" t="inlineStr">
        <is>
          <t>bandera</t>
        </is>
      </c>
    </row>
    <row r="2">
      <c r="A2" t="inlineStr">
        <is>
          <t>Leticia</t>
        </is>
      </c>
      <c r="B2" t="inlineStr">
        <is>
          <t>UN-LE-025</t>
        </is>
      </c>
      <c r="C2" t="inlineStr">
        <is>
          <t>Agua cruda, superficial, pozo Universidad Nacional Amazonia</t>
        </is>
      </c>
      <c r="D2" t="inlineStr">
        <is>
          <t>POZO_UN</t>
        </is>
      </c>
      <c r="E2" t="inlineStr">
        <is>
          <t>subterránea (pozo)</t>
        </is>
      </c>
      <c r="F2" t="inlineStr">
        <is>
          <t>2026-06-18</t>
        </is>
      </c>
      <c r="G2" t="inlineStr">
        <is>
          <t>2026-06-18</t>
        </is>
      </c>
      <c r="H2" t="inlineStr">
        <is>
          <t>2026-06</t>
        </is>
      </c>
      <c r="I2" t="inlineStr">
        <is>
          <t>turbiedad</t>
        </is>
      </c>
      <c r="J2" t="inlineStr">
        <is>
          <t>Turbiedad</t>
        </is>
      </c>
      <c r="K2" t="n">
        <v>4.92</v>
      </c>
      <c r="L2" t="inlineStr"/>
      <c r="N2" t="inlineStr">
        <is>
          <t>4,92</t>
        </is>
      </c>
      <c r="O2" t="inlineStr">
        <is>
          <t>UNT</t>
        </is>
      </c>
      <c r="P2" t="inlineStr">
        <is>
          <t>turbiedad nefelométrica</t>
        </is>
      </c>
      <c r="Q2" t="inlineStr">
        <is>
          <t>SM 2130 B</t>
        </is>
      </c>
      <c r="R2" t="inlineStr">
        <is>
          <t>2026-06-22</t>
        </is>
      </c>
      <c r="S2" t="inlineStr">
        <is>
          <t>Laboratorio de Ingeniería Ambiental, Facultad de Ingeniería, UNAL Bogotá (LIA)</t>
        </is>
      </c>
      <c r="T2" t="inlineStr">
        <is>
          <t>39915</t>
        </is>
      </c>
      <c r="U2" t="inlineStr">
        <is>
          <t>PDF ANALISIS_39915.pdf (informe original)</t>
        </is>
      </c>
      <c r="V2" t="inlineStr">
        <is>
          <t>tipo_muestra_informe_superficial_pero_es_pozo</t>
        </is>
      </c>
    </row>
    <row r="3">
      <c r="A3" t="inlineStr">
        <is>
          <t>Leticia</t>
        </is>
      </c>
      <c r="B3" t="inlineStr">
        <is>
          <t>UN-LE-025</t>
        </is>
      </c>
      <c r="C3" t="inlineStr">
        <is>
          <t>Agua cruda, superficial, pozo Universidad Nacional Amazonia</t>
        </is>
      </c>
      <c r="D3" t="inlineStr">
        <is>
          <t>POZO_UN</t>
        </is>
      </c>
      <c r="E3" t="inlineStr">
        <is>
          <t>subterránea (pozo)</t>
        </is>
      </c>
      <c r="F3" t="inlineStr">
        <is>
          <t>2026-06-18</t>
        </is>
      </c>
      <c r="G3" t="inlineStr">
        <is>
          <t>2026-06-18</t>
        </is>
      </c>
      <c r="H3" t="inlineStr">
        <is>
          <t>2026-06</t>
        </is>
      </c>
      <c r="I3" t="inlineStr">
        <is>
          <t>color_aparente</t>
        </is>
      </c>
      <c r="J3" t="inlineStr">
        <is>
          <t>Color Aparente</t>
        </is>
      </c>
      <c r="K3" t="n">
        <v>9</v>
      </c>
      <c r="L3" t="inlineStr"/>
      <c r="N3" t="inlineStr">
        <is>
          <t>9</t>
        </is>
      </c>
      <c r="O3" t="inlineStr">
        <is>
          <t>UPC</t>
        </is>
      </c>
      <c r="P3" t="inlineStr">
        <is>
          <t>Pt-Co, sin filtrar</t>
        </is>
      </c>
      <c r="Q3" t="inlineStr">
        <is>
          <t>SM 2120 B</t>
        </is>
      </c>
      <c r="R3" t="inlineStr">
        <is>
          <t>2026-06-22</t>
        </is>
      </c>
      <c r="S3" t="inlineStr">
        <is>
          <t>Laboratorio de Ingeniería Ambiental, Facultad de Ingeniería, UNAL Bogotá (LIA)</t>
        </is>
      </c>
      <c r="T3" t="inlineStr">
        <is>
          <t>39915</t>
        </is>
      </c>
      <c r="U3" t="inlineStr">
        <is>
          <t>PDF ANALISIS_39915.pdf (informe original)</t>
        </is>
      </c>
      <c r="V3" t="inlineStr">
        <is>
          <t>tipo_muestra_informe_superficial_pero_es_pozo</t>
        </is>
      </c>
    </row>
    <row r="4">
      <c r="A4" t="inlineStr">
        <is>
          <t>Leticia</t>
        </is>
      </c>
      <c r="B4" t="inlineStr">
        <is>
          <t>UN-LE-025</t>
        </is>
      </c>
      <c r="C4" t="inlineStr">
        <is>
          <t>Agua cruda, superficial, pozo Universidad Nacional Amazonia</t>
        </is>
      </c>
      <c r="D4" t="inlineStr">
        <is>
          <t>POZO_UN</t>
        </is>
      </c>
      <c r="E4" t="inlineStr">
        <is>
          <t>subterránea (pozo)</t>
        </is>
      </c>
      <c r="F4" t="inlineStr">
        <is>
          <t>2026-06-18</t>
        </is>
      </c>
      <c r="G4" t="inlineStr">
        <is>
          <t>2026-06-18</t>
        </is>
      </c>
      <c r="H4" t="inlineStr">
        <is>
          <t>2026-06</t>
        </is>
      </c>
      <c r="I4" t="inlineStr">
        <is>
          <t>ph</t>
        </is>
      </c>
      <c r="J4" t="inlineStr">
        <is>
          <t>pH</t>
        </is>
      </c>
      <c r="K4" t="n">
        <v>6.17</v>
      </c>
      <c r="L4" t="inlineStr"/>
      <c r="N4" t="inlineStr">
        <is>
          <t>6,17</t>
        </is>
      </c>
      <c r="O4" t="inlineStr">
        <is>
          <t>Unidades</t>
        </is>
      </c>
      <c r="P4" t="inlineStr">
        <is>
          <t>pH</t>
        </is>
      </c>
      <c r="Q4" t="inlineStr">
        <is>
          <t>SM 4500 H+B</t>
        </is>
      </c>
      <c r="R4" t="inlineStr">
        <is>
          <t>2026-06-22</t>
        </is>
      </c>
      <c r="S4" t="inlineStr">
        <is>
          <t>Laboratorio de Ingeniería Ambiental, Facultad de Ingeniería, UNAL Bogotá (LIA)</t>
        </is>
      </c>
      <c r="T4" t="inlineStr">
        <is>
          <t>39915</t>
        </is>
      </c>
      <c r="U4" t="inlineStr">
        <is>
          <t>PDF ANALISIS_39915.pdf (informe original)</t>
        </is>
      </c>
      <c r="V4" t="inlineStr">
        <is>
          <t>tipo_muestra_informe_superficial_pero_es_pozo</t>
        </is>
      </c>
    </row>
    <row r="5">
      <c r="A5" t="inlineStr">
        <is>
          <t>Leticia</t>
        </is>
      </c>
      <c r="B5" t="inlineStr">
        <is>
          <t>UN-LE-025</t>
        </is>
      </c>
      <c r="C5" t="inlineStr">
        <is>
          <t>Agua cruda, superficial, pozo Universidad Nacional Amazonia</t>
        </is>
      </c>
      <c r="D5" t="inlineStr">
        <is>
          <t>POZO_UN</t>
        </is>
      </c>
      <c r="E5" t="inlineStr">
        <is>
          <t>subterránea (pozo)</t>
        </is>
      </c>
      <c r="F5" t="inlineStr">
        <is>
          <t>2026-06-18</t>
        </is>
      </c>
      <c r="G5" t="inlineStr">
        <is>
          <t>2026-06-18</t>
        </is>
      </c>
      <c r="H5" t="inlineStr">
        <is>
          <t>2026-06</t>
        </is>
      </c>
      <c r="I5" t="inlineStr">
        <is>
          <t>conductividad</t>
        </is>
      </c>
      <c r="J5" t="inlineStr">
        <is>
          <t>Conductividad Específica</t>
        </is>
      </c>
      <c r="K5" t="n">
        <v>38.2</v>
      </c>
      <c r="L5" t="inlineStr"/>
      <c r="N5" t="inlineStr">
        <is>
          <t>38,2</t>
        </is>
      </c>
      <c r="O5" t="inlineStr">
        <is>
          <t>µS/cm 25 °C</t>
        </is>
      </c>
      <c r="P5" t="inlineStr">
        <is>
          <t>CE a 25 °C</t>
        </is>
      </c>
      <c r="Q5" t="inlineStr">
        <is>
          <t>SM 2510 B</t>
        </is>
      </c>
      <c r="R5" t="inlineStr">
        <is>
          <t>2026-06-22</t>
        </is>
      </c>
      <c r="S5" t="inlineStr">
        <is>
          <t>Laboratorio de Ingeniería Ambiental, Facultad de Ingeniería, UNAL Bogotá (LIA)</t>
        </is>
      </c>
      <c r="T5" t="inlineStr">
        <is>
          <t>39915</t>
        </is>
      </c>
      <c r="U5" t="inlineStr">
        <is>
          <t>PDF ANALISIS_39915.pdf (informe original)</t>
        </is>
      </c>
      <c r="V5" t="inlineStr">
        <is>
          <t>tipo_muestra_informe_superficial_pero_es_pozo</t>
        </is>
      </c>
    </row>
    <row r="6">
      <c r="A6" t="inlineStr">
        <is>
          <t>Leticia</t>
        </is>
      </c>
      <c r="B6" t="inlineStr">
        <is>
          <t>UN-LE-025</t>
        </is>
      </c>
      <c r="C6" t="inlineStr">
        <is>
          <t>Agua cruda, superficial, pozo Universidad Nacional Amazonia</t>
        </is>
      </c>
      <c r="D6" t="inlineStr">
        <is>
          <t>POZO_UN</t>
        </is>
      </c>
      <c r="E6" t="inlineStr">
        <is>
          <t>subterránea (pozo)</t>
        </is>
      </c>
      <c r="F6" t="inlineStr">
        <is>
          <t>2026-06-18</t>
        </is>
      </c>
      <c r="G6" t="inlineStr">
        <is>
          <t>2026-06-18</t>
        </is>
      </c>
      <c r="H6" t="inlineStr">
        <is>
          <t>2026-06</t>
        </is>
      </c>
      <c r="I6" t="inlineStr">
        <is>
          <t>alcalinidad</t>
        </is>
      </c>
      <c r="J6" t="inlineStr">
        <is>
          <t>Alcalinidad total</t>
        </is>
      </c>
      <c r="K6" t="n">
        <v>20</v>
      </c>
      <c r="L6" t="inlineStr"/>
      <c r="N6" t="inlineStr">
        <is>
          <t>20</t>
        </is>
      </c>
      <c r="O6" t="inlineStr">
        <is>
          <t>mg/L CaCO3</t>
        </is>
      </c>
      <c r="P6" t="inlineStr">
        <is>
          <t>CaCO3</t>
        </is>
      </c>
      <c r="Q6" t="inlineStr">
        <is>
          <t>SM 2320 (Indicador)</t>
        </is>
      </c>
      <c r="R6" t="inlineStr">
        <is>
          <t>2026-06-22</t>
        </is>
      </c>
      <c r="S6" t="inlineStr">
        <is>
          <t>Laboratorio de Ingeniería Ambiental, Facultad de Ingeniería, UNAL Bogotá (LIA)</t>
        </is>
      </c>
      <c r="T6" t="inlineStr">
        <is>
          <t>39915</t>
        </is>
      </c>
      <c r="U6" t="inlineStr">
        <is>
          <t>PDF ANALISIS_39915.pdf (informe original)</t>
        </is>
      </c>
      <c r="V6" t="inlineStr">
        <is>
          <t>tipo_muestra_informe_superficial_pero_es_pozo</t>
        </is>
      </c>
    </row>
    <row r="7">
      <c r="A7" t="inlineStr">
        <is>
          <t>Leticia</t>
        </is>
      </c>
      <c r="B7" t="inlineStr">
        <is>
          <t>UN-LE-025</t>
        </is>
      </c>
      <c r="C7" t="inlineStr">
        <is>
          <t>Agua cruda, superficial, pozo Universidad Nacional Amazonia</t>
        </is>
      </c>
      <c r="D7" t="inlineStr">
        <is>
          <t>POZO_UN</t>
        </is>
      </c>
      <c r="E7" t="inlineStr">
        <is>
          <t>subterránea (pozo)</t>
        </is>
      </c>
      <c r="F7" t="inlineStr">
        <is>
          <t>2026-06-18</t>
        </is>
      </c>
      <c r="G7" t="inlineStr">
        <is>
          <t>2026-06-18</t>
        </is>
      </c>
      <c r="H7" t="inlineStr">
        <is>
          <t>2026-06</t>
        </is>
      </c>
      <c r="I7" t="inlineStr">
        <is>
          <t>acidez</t>
        </is>
      </c>
      <c r="J7" t="inlineStr">
        <is>
          <t>Acidez total</t>
        </is>
      </c>
      <c r="K7" t="n">
        <v>22</v>
      </c>
      <c r="L7" t="inlineStr"/>
      <c r="N7" t="inlineStr">
        <is>
          <t>22</t>
        </is>
      </c>
      <c r="O7" t="inlineStr">
        <is>
          <t>mg/L CaCO3</t>
        </is>
      </c>
      <c r="P7" t="inlineStr">
        <is>
          <t>CaCO3</t>
        </is>
      </c>
      <c r="Q7" t="inlineStr">
        <is>
          <t>SM 2310 B</t>
        </is>
      </c>
      <c r="R7" t="inlineStr">
        <is>
          <t>2026-06-22</t>
        </is>
      </c>
      <c r="S7" t="inlineStr">
        <is>
          <t>Laboratorio de Ingeniería Ambiental, Facultad de Ingeniería, UNAL Bogotá (LIA)</t>
        </is>
      </c>
      <c r="T7" t="inlineStr">
        <is>
          <t>39915</t>
        </is>
      </c>
      <c r="U7" t="inlineStr">
        <is>
          <t>PDF ANALISIS_39915.pdf (informe original)</t>
        </is>
      </c>
      <c r="V7" t="inlineStr">
        <is>
          <t>tipo_muestra_informe_superficial_pero_es_pozo</t>
        </is>
      </c>
    </row>
    <row r="8">
      <c r="A8" t="inlineStr">
        <is>
          <t>Leticia</t>
        </is>
      </c>
      <c r="B8" t="inlineStr">
        <is>
          <t>UN-LE-025</t>
        </is>
      </c>
      <c r="C8" t="inlineStr">
        <is>
          <t>Agua cruda, superficial, pozo Universidad Nacional Amazonia</t>
        </is>
      </c>
      <c r="D8" t="inlineStr">
        <is>
          <t>POZO_UN</t>
        </is>
      </c>
      <c r="E8" t="inlineStr">
        <is>
          <t>subterránea (pozo)</t>
        </is>
      </c>
      <c r="F8" t="inlineStr">
        <is>
          <t>2026-06-18</t>
        </is>
      </c>
      <c r="G8" t="inlineStr">
        <is>
          <t>2026-06-18</t>
        </is>
      </c>
      <c r="H8" t="inlineStr">
        <is>
          <t>2026-06</t>
        </is>
      </c>
      <c r="I8" t="inlineStr">
        <is>
          <t>dureza_total</t>
        </is>
      </c>
      <c r="J8" t="inlineStr">
        <is>
          <t>Dureza total</t>
        </is>
      </c>
      <c r="K8" t="n">
        <v>10</v>
      </c>
      <c r="L8" t="inlineStr"/>
      <c r="N8" t="inlineStr">
        <is>
          <t>10</t>
        </is>
      </c>
      <c r="O8" t="inlineStr">
        <is>
          <t>mg/L CaCO3</t>
        </is>
      </c>
      <c r="P8" t="inlineStr">
        <is>
          <t>CaCO3</t>
        </is>
      </c>
      <c r="Q8" t="inlineStr">
        <is>
          <t>SM 2340 C</t>
        </is>
      </c>
      <c r="R8" t="inlineStr">
        <is>
          <t>2026-06-23</t>
        </is>
      </c>
      <c r="S8" t="inlineStr">
        <is>
          <t>Laboratorio de Ingeniería Ambiental, Facultad de Ingeniería, UNAL Bogotá (LIA)</t>
        </is>
      </c>
      <c r="T8" t="inlineStr">
        <is>
          <t>39915</t>
        </is>
      </c>
      <c r="U8" t="inlineStr">
        <is>
          <t>PDF ANALISIS_39915.pdf (informe original)</t>
        </is>
      </c>
      <c r="V8" t="inlineStr">
        <is>
          <t>tipo_muestra_informe_superficial_pero_es_pozo</t>
        </is>
      </c>
    </row>
    <row r="9">
      <c r="A9" t="inlineStr">
        <is>
          <t>Leticia</t>
        </is>
      </c>
      <c r="B9" t="inlineStr">
        <is>
          <t>UN-LE-025</t>
        </is>
      </c>
      <c r="C9" t="inlineStr">
        <is>
          <t>Agua cruda, superficial, pozo Universidad Nacional Amazonia</t>
        </is>
      </c>
      <c r="D9" t="inlineStr">
        <is>
          <t>POZO_UN</t>
        </is>
      </c>
      <c r="E9" t="inlineStr">
        <is>
          <t>subterránea (pozo)</t>
        </is>
      </c>
      <c r="F9" t="inlineStr">
        <is>
          <t>2026-06-18</t>
        </is>
      </c>
      <c r="G9" t="inlineStr">
        <is>
          <t>2026-06-18</t>
        </is>
      </c>
      <c r="H9" t="inlineStr">
        <is>
          <t>2026-06</t>
        </is>
      </c>
      <c r="I9" t="inlineStr">
        <is>
          <t>dureza_calcica</t>
        </is>
      </c>
      <c r="J9" t="inlineStr">
        <is>
          <t>Dureza Cálcica</t>
        </is>
      </c>
      <c r="K9" t="n">
        <v>5</v>
      </c>
      <c r="L9" t="inlineStr">
        <is>
          <t>&lt;</t>
        </is>
      </c>
      <c r="M9" t="n">
        <v>5</v>
      </c>
      <c r="N9" t="inlineStr">
        <is>
          <t>&lt;5</t>
        </is>
      </c>
      <c r="O9" t="inlineStr">
        <is>
          <t>mg/L CaCO3</t>
        </is>
      </c>
      <c r="P9" t="inlineStr">
        <is>
          <t>CaCO3</t>
        </is>
      </c>
      <c r="Q9" t="inlineStr">
        <is>
          <t>SM 3500-Ca,B</t>
        </is>
      </c>
      <c r="R9" t="inlineStr">
        <is>
          <t>2026-06-23</t>
        </is>
      </c>
      <c r="S9" t="inlineStr">
        <is>
          <t>Laboratorio de Ingeniería Ambiental, Facultad de Ingeniería, UNAL Bogotá (LIA)</t>
        </is>
      </c>
      <c r="T9" t="inlineStr">
        <is>
          <t>39915</t>
        </is>
      </c>
      <c r="U9" t="inlineStr">
        <is>
          <t>PDF ANALISIS_39915.pdf (informe original)</t>
        </is>
      </c>
      <c r="V9" t="inlineStr">
        <is>
          <t>tipo_muestra_informe_superficial_pero_es_pozo</t>
        </is>
      </c>
    </row>
    <row r="10">
      <c r="A10" t="inlineStr">
        <is>
          <t>Leticia</t>
        </is>
      </c>
      <c r="B10" t="inlineStr">
        <is>
          <t>UN-LE-025</t>
        </is>
      </c>
      <c r="C10" t="inlineStr">
        <is>
          <t>Agua cruda, superficial, pozo Universidad Nacional Amazonia</t>
        </is>
      </c>
      <c r="D10" t="inlineStr">
        <is>
          <t>POZO_UN</t>
        </is>
      </c>
      <c r="E10" t="inlineStr">
        <is>
          <t>subterránea (pozo)</t>
        </is>
      </c>
      <c r="F10" t="inlineStr">
        <is>
          <t>2026-06-18</t>
        </is>
      </c>
      <c r="G10" t="inlineStr">
        <is>
          <t>2026-06-18</t>
        </is>
      </c>
      <c r="H10" t="inlineStr">
        <is>
          <t>2026-06</t>
        </is>
      </c>
      <c r="I10" t="inlineStr">
        <is>
          <t>dureza_magnesica</t>
        </is>
      </c>
      <c r="J10" t="inlineStr">
        <is>
          <t>Dureza Magnésica</t>
        </is>
      </c>
      <c r="K10" t="n">
        <v>7</v>
      </c>
      <c r="L10" t="inlineStr"/>
      <c r="N10" t="inlineStr">
        <is>
          <t>7</t>
        </is>
      </c>
      <c r="O10" t="inlineStr">
        <is>
          <t>mg/L CaCO3</t>
        </is>
      </c>
      <c r="P10" t="inlineStr">
        <is>
          <t>CaCO3</t>
        </is>
      </c>
      <c r="Q10" t="inlineStr">
        <is>
          <t>SM 3500-Mg,B</t>
        </is>
      </c>
      <c r="R10" t="inlineStr">
        <is>
          <t>2026-06-23</t>
        </is>
      </c>
      <c r="S10" t="inlineStr">
        <is>
          <t>Laboratorio de Ingeniería Ambiental, Facultad de Ingeniería, UNAL Bogotá (LIA)</t>
        </is>
      </c>
      <c r="T10" t="inlineStr">
        <is>
          <t>39915</t>
        </is>
      </c>
      <c r="U10" t="inlineStr">
        <is>
          <t>PDF ANALISIS_39915.pdf (informe original)</t>
        </is>
      </c>
      <c r="V10" t="inlineStr">
        <is>
          <t>tipo_muestra_informe_superficial_pero_es_pozo</t>
        </is>
      </c>
    </row>
    <row r="11">
      <c r="A11" t="inlineStr">
        <is>
          <t>Leticia</t>
        </is>
      </c>
      <c r="B11" t="inlineStr">
        <is>
          <t>UN-LE-025</t>
        </is>
      </c>
      <c r="C11" t="inlineStr">
        <is>
          <t>Agua cruda, superficial, pozo Universidad Nacional Amazonia</t>
        </is>
      </c>
      <c r="D11" t="inlineStr">
        <is>
          <t>POZO_UN</t>
        </is>
      </c>
      <c r="E11" t="inlineStr">
        <is>
          <t>subterránea (pozo)</t>
        </is>
      </c>
      <c r="F11" t="inlineStr">
        <is>
          <t>2026-06-18</t>
        </is>
      </c>
      <c r="G11" t="inlineStr">
        <is>
          <t>2026-06-18</t>
        </is>
      </c>
      <c r="H11" t="inlineStr">
        <is>
          <t>2026-06</t>
        </is>
      </c>
      <c r="I11" t="inlineStr">
        <is>
          <t>calcio</t>
        </is>
      </c>
      <c r="J11" t="inlineStr">
        <is>
          <t>Calcio por titulación</t>
        </is>
      </c>
      <c r="K11" t="n">
        <v>1</v>
      </c>
      <c r="L11" t="inlineStr"/>
      <c r="N11" t="inlineStr">
        <is>
          <t>1</t>
        </is>
      </c>
      <c r="O11" t="inlineStr">
        <is>
          <t>mg/L Ca</t>
        </is>
      </c>
      <c r="P11" t="inlineStr">
        <is>
          <t>Ca</t>
        </is>
      </c>
      <c r="Q11" t="inlineStr">
        <is>
          <t>SM 3500-Ca,B</t>
        </is>
      </c>
      <c r="R11" t="inlineStr">
        <is>
          <t>2026-06-23</t>
        </is>
      </c>
      <c r="S11" t="inlineStr">
        <is>
          <t>Laboratorio de Ingeniería Ambiental, Facultad de Ingeniería, UNAL Bogotá (LIA)</t>
        </is>
      </c>
      <c r="T11" t="inlineStr">
        <is>
          <t>39915</t>
        </is>
      </c>
      <c r="U11" t="inlineStr">
        <is>
          <t>PDF ANALISIS_39915.pdf (informe original)</t>
        </is>
      </c>
      <c r="V11" t="inlineStr">
        <is>
          <t>tipo_muestra_informe_superficial_pero_es_pozo</t>
        </is>
      </c>
    </row>
    <row r="12">
      <c r="A12" t="inlineStr">
        <is>
          <t>Leticia</t>
        </is>
      </c>
      <c r="B12" t="inlineStr">
        <is>
          <t>UN-LE-025</t>
        </is>
      </c>
      <c r="C12" t="inlineStr">
        <is>
          <t>Agua cruda, superficial, pozo Universidad Nacional Amazonia</t>
        </is>
      </c>
      <c r="D12" t="inlineStr">
        <is>
          <t>POZO_UN</t>
        </is>
      </c>
      <c r="E12" t="inlineStr">
        <is>
          <t>subterránea (pozo)</t>
        </is>
      </c>
      <c r="F12" t="inlineStr">
        <is>
          <t>2026-06-18</t>
        </is>
      </c>
      <c r="G12" t="inlineStr">
        <is>
          <t>2026-06-18</t>
        </is>
      </c>
      <c r="H12" t="inlineStr">
        <is>
          <t>2026-06</t>
        </is>
      </c>
      <c r="I12" t="inlineStr">
        <is>
          <t>magnesio</t>
        </is>
      </c>
      <c r="J12" t="inlineStr">
        <is>
          <t>Magnesio</t>
        </is>
      </c>
      <c r="K12" t="n">
        <v>2</v>
      </c>
      <c r="L12" t="inlineStr"/>
      <c r="N12" t="inlineStr">
        <is>
          <t>2</t>
        </is>
      </c>
      <c r="O12" t="inlineStr">
        <is>
          <t>mg/L Mg</t>
        </is>
      </c>
      <c r="P12" t="inlineStr">
        <is>
          <t>Mg</t>
        </is>
      </c>
      <c r="Q12" t="inlineStr">
        <is>
          <t>SM 3500-Mg,B</t>
        </is>
      </c>
      <c r="R12" t="inlineStr">
        <is>
          <t>2026-06-23</t>
        </is>
      </c>
      <c r="S12" t="inlineStr">
        <is>
          <t>Laboratorio de Ingeniería Ambiental, Facultad de Ingeniería, UNAL Bogotá (LIA)</t>
        </is>
      </c>
      <c r="T12" t="inlineStr">
        <is>
          <t>39915</t>
        </is>
      </c>
      <c r="U12" t="inlineStr">
        <is>
          <t>PDF ANALISIS_39915.pdf (informe original)</t>
        </is>
      </c>
      <c r="V12" t="inlineStr">
        <is>
          <t>tipo_muestra_informe_superficial_pero_es_pozo</t>
        </is>
      </c>
    </row>
    <row r="13">
      <c r="A13" t="inlineStr">
        <is>
          <t>Leticia</t>
        </is>
      </c>
      <c r="B13" t="inlineStr">
        <is>
          <t>UN-LE-025</t>
        </is>
      </c>
      <c r="C13" t="inlineStr">
        <is>
          <t>Agua cruda, superficial, pozo Universidad Nacional Amazonia</t>
        </is>
      </c>
      <c r="D13" t="inlineStr">
        <is>
          <t>POZO_UN</t>
        </is>
      </c>
      <c r="E13" t="inlineStr">
        <is>
          <t>subterránea (pozo)</t>
        </is>
      </c>
      <c r="F13" t="inlineStr">
        <is>
          <t>2026-06-18</t>
        </is>
      </c>
      <c r="G13" t="inlineStr">
        <is>
          <t>2026-06-18</t>
        </is>
      </c>
      <c r="H13" t="inlineStr">
        <is>
          <t>2026-06</t>
        </is>
      </c>
      <c r="I13" t="inlineStr">
        <is>
          <t>hierro</t>
        </is>
      </c>
      <c r="J13" t="inlineStr">
        <is>
          <t>Hierro</t>
        </is>
      </c>
      <c r="K13" t="n">
        <v>0.1</v>
      </c>
      <c r="L13" t="inlineStr">
        <is>
          <t>&lt;</t>
        </is>
      </c>
      <c r="M13" t="n">
        <v>0.1</v>
      </c>
      <c r="N13" t="inlineStr">
        <is>
          <t>&lt;0,1</t>
        </is>
      </c>
      <c r="O13" t="inlineStr">
        <is>
          <t>mg/L Fe +3</t>
        </is>
      </c>
      <c r="P13" t="inlineStr">
        <is>
          <t>Fe total</t>
        </is>
      </c>
      <c r="Q13" t="inlineStr">
        <is>
          <t>SM 3111 B</t>
        </is>
      </c>
      <c r="R13" t="inlineStr">
        <is>
          <t>2026-07-03</t>
        </is>
      </c>
      <c r="S13" t="inlineStr">
        <is>
          <t>Laboratorio de Ingeniería Ambiental, Facultad de Ingeniería, UNAL Bogotá (LIA)</t>
        </is>
      </c>
      <c r="T13" t="inlineStr">
        <is>
          <t>39915</t>
        </is>
      </c>
      <c r="U13" t="inlineStr">
        <is>
          <t>PDF ANALISIS_39915.pdf (informe original)</t>
        </is>
      </c>
      <c r="V13" t="inlineStr">
        <is>
          <t>tipo_muestra_informe_superficial_pero_es_pozo</t>
        </is>
      </c>
    </row>
    <row r="14">
      <c r="A14" t="inlineStr">
        <is>
          <t>Leticia</t>
        </is>
      </c>
      <c r="B14" t="inlineStr">
        <is>
          <t>UN-LE-025</t>
        </is>
      </c>
      <c r="C14" t="inlineStr">
        <is>
          <t>Agua cruda, superficial, pozo Universidad Nacional Amazonia</t>
        </is>
      </c>
      <c r="D14" t="inlineStr">
        <is>
          <t>POZO_UN</t>
        </is>
      </c>
      <c r="E14" t="inlineStr">
        <is>
          <t>subterránea (pozo)</t>
        </is>
      </c>
      <c r="F14" t="inlineStr">
        <is>
          <t>2026-06-18</t>
        </is>
      </c>
      <c r="G14" t="inlineStr">
        <is>
          <t>2026-06-18</t>
        </is>
      </c>
      <c r="H14" t="inlineStr">
        <is>
          <t>2026-06</t>
        </is>
      </c>
      <c r="I14" t="inlineStr">
        <is>
          <t>manganeso</t>
        </is>
      </c>
      <c r="J14" t="inlineStr">
        <is>
          <t>Manganeso</t>
        </is>
      </c>
      <c r="K14" t="n">
        <v>0.05</v>
      </c>
      <c r="L14" t="inlineStr">
        <is>
          <t>&lt;</t>
        </is>
      </c>
      <c r="M14" t="n">
        <v>0.05</v>
      </c>
      <c r="N14" t="inlineStr">
        <is>
          <t>&lt;0,05</t>
        </is>
      </c>
      <c r="O14" t="inlineStr">
        <is>
          <t>mg/L Mn +7</t>
        </is>
      </c>
      <c r="P14" t="inlineStr">
        <is>
          <t>Mn total</t>
        </is>
      </c>
      <c r="Q14" t="inlineStr">
        <is>
          <t>SM 3111 B</t>
        </is>
      </c>
      <c r="R14" t="inlineStr">
        <is>
          <t>2026-07-03</t>
        </is>
      </c>
      <c r="S14" t="inlineStr">
        <is>
          <t>Laboratorio de Ingeniería Ambiental, Facultad de Ingeniería, UNAL Bogotá (LIA)</t>
        </is>
      </c>
      <c r="T14" t="inlineStr">
        <is>
          <t>39915</t>
        </is>
      </c>
      <c r="U14" t="inlineStr">
        <is>
          <t>PDF ANALISIS_39915.pdf (informe original)</t>
        </is>
      </c>
      <c r="V14" t="inlineStr">
        <is>
          <t>tipo_muestra_informe_superficial_pero_es_pozo</t>
        </is>
      </c>
    </row>
    <row r="15">
      <c r="A15" t="inlineStr">
        <is>
          <t>Leticia</t>
        </is>
      </c>
      <c r="B15" t="inlineStr">
        <is>
          <t>UN-LE-025</t>
        </is>
      </c>
      <c r="C15" t="inlineStr">
        <is>
          <t>Agua cruda, superficial, pozo Universidad Nacional Amazonia</t>
        </is>
      </c>
      <c r="D15" t="inlineStr">
        <is>
          <t>POZO_UN</t>
        </is>
      </c>
      <c r="E15" t="inlineStr">
        <is>
          <t>subterránea (pozo)</t>
        </is>
      </c>
      <c r="F15" t="inlineStr">
        <is>
          <t>2026-06-18</t>
        </is>
      </c>
      <c r="G15" t="inlineStr">
        <is>
          <t>2026-06-18</t>
        </is>
      </c>
      <c r="H15" t="inlineStr">
        <is>
          <t>2026-06</t>
        </is>
      </c>
      <c r="I15" t="inlineStr">
        <is>
          <t>cot</t>
        </is>
      </c>
      <c r="J15" t="inlineStr">
        <is>
          <t>Carbono Orgánico Total</t>
        </is>
      </c>
      <c r="K15" t="n">
        <v>1</v>
      </c>
      <c r="L15" t="inlineStr">
        <is>
          <t>&lt;</t>
        </is>
      </c>
      <c r="M15" t="n">
        <v>1</v>
      </c>
      <c r="N15" t="inlineStr">
        <is>
          <t>&lt;1,0</t>
        </is>
      </c>
      <c r="O15" t="inlineStr">
        <is>
          <t>mg/L C</t>
        </is>
      </c>
      <c r="P15" t="inlineStr">
        <is>
          <t>C</t>
        </is>
      </c>
      <c r="Q15" t="inlineStr">
        <is>
          <t>SM 5310 B</t>
        </is>
      </c>
      <c r="R15" t="inlineStr">
        <is>
          <t>2026-07-08</t>
        </is>
      </c>
      <c r="S15" t="inlineStr">
        <is>
          <t>Laboratorio de Ingeniería Ambiental, Facultad de Ingeniería, UNAL Bogotá (LIA)</t>
        </is>
      </c>
      <c r="T15" t="inlineStr">
        <is>
          <t>39915</t>
        </is>
      </c>
      <c r="U15" t="inlineStr">
        <is>
          <t>PDF ANALISIS_39915.pdf (informe original)</t>
        </is>
      </c>
      <c r="V15" t="inlineStr">
        <is>
          <t>tipo_muestra_informe_superficial_pero_es_pozo</t>
        </is>
      </c>
    </row>
    <row r="16">
      <c r="A16" t="inlineStr">
        <is>
          <t>Leticia</t>
        </is>
      </c>
      <c r="B16" t="inlineStr">
        <is>
          <t>UN-LE-025</t>
        </is>
      </c>
      <c r="C16" t="inlineStr">
        <is>
          <t>Agua cruda, superficial, pozo Universidad Nacional Amazonia</t>
        </is>
      </c>
      <c r="D16" t="inlineStr">
        <is>
          <t>POZO_UN</t>
        </is>
      </c>
      <c r="E16" t="inlineStr">
        <is>
          <t>subterránea (pozo)</t>
        </is>
      </c>
      <c r="F16" t="inlineStr">
        <is>
          <t>2026-06-18</t>
        </is>
      </c>
      <c r="G16" t="inlineStr">
        <is>
          <t>2026-06-18</t>
        </is>
      </c>
      <c r="H16" t="inlineStr">
        <is>
          <t>2026-06</t>
        </is>
      </c>
      <c r="I16" t="inlineStr">
        <is>
          <t>zinc</t>
        </is>
      </c>
      <c r="J16" t="inlineStr">
        <is>
          <t>Zinc</t>
        </is>
      </c>
      <c r="K16" t="n">
        <v>0.05</v>
      </c>
      <c r="L16" t="inlineStr">
        <is>
          <t>&lt;</t>
        </is>
      </c>
      <c r="M16" t="n">
        <v>0.05</v>
      </c>
      <c r="N16" t="inlineStr">
        <is>
          <t>&lt;0,05</t>
        </is>
      </c>
      <c r="O16" t="inlineStr">
        <is>
          <t>mg/L Zn</t>
        </is>
      </c>
      <c r="P16" t="inlineStr">
        <is>
          <t>Zn</t>
        </is>
      </c>
      <c r="Q16" t="inlineStr">
        <is>
          <t>SM 3111 B</t>
        </is>
      </c>
      <c r="R16" t="inlineStr">
        <is>
          <t>2026-07-06</t>
        </is>
      </c>
      <c r="S16" t="inlineStr">
        <is>
          <t>Laboratorio de Ingeniería Ambiental, Facultad de Ingeniería, UNAL Bogotá (LIA)</t>
        </is>
      </c>
      <c r="T16" t="inlineStr">
        <is>
          <t>39915</t>
        </is>
      </c>
      <c r="U16" t="inlineStr">
        <is>
          <t>PDF ANALISIS_39915.pdf (informe original)</t>
        </is>
      </c>
      <c r="V16" t="inlineStr">
        <is>
          <t>tipo_muestra_informe_superficial_pero_es_pozo</t>
        </is>
      </c>
    </row>
    <row r="17">
      <c r="A17" t="inlineStr">
        <is>
          <t>Leticia</t>
        </is>
      </c>
      <c r="B17" t="inlineStr">
        <is>
          <t>UN-LE-025</t>
        </is>
      </c>
      <c r="C17" t="inlineStr">
        <is>
          <t>Agua cruda, superficial, pozo Universidad Nacional Amazonia</t>
        </is>
      </c>
      <c r="D17" t="inlineStr">
        <is>
          <t>POZO_UN</t>
        </is>
      </c>
      <c r="E17" t="inlineStr">
        <is>
          <t>subterránea (pozo)</t>
        </is>
      </c>
      <c r="F17" t="inlineStr">
        <is>
          <t>2026-06-18</t>
        </is>
      </c>
      <c r="G17" t="inlineStr">
        <is>
          <t>2026-06-18</t>
        </is>
      </c>
      <c r="H17" t="inlineStr">
        <is>
          <t>2026-06</t>
        </is>
      </c>
      <c r="I17" t="inlineStr">
        <is>
          <t>fluoruros</t>
        </is>
      </c>
      <c r="J17" t="inlineStr">
        <is>
          <t>Fluoruros</t>
        </is>
      </c>
      <c r="K17" t="n">
        <v>0.03</v>
      </c>
      <c r="L17" t="inlineStr"/>
      <c r="N17" t="inlineStr">
        <is>
          <t>0,03</t>
        </is>
      </c>
      <c r="O17" t="inlineStr">
        <is>
          <t>mg/L F-</t>
        </is>
      </c>
      <c r="P17" t="inlineStr">
        <is>
          <t>F-</t>
        </is>
      </c>
      <c r="Q17" t="inlineStr">
        <is>
          <t>SM 4110 B</t>
        </is>
      </c>
      <c r="R17" t="inlineStr">
        <is>
          <t>2026-06-23</t>
        </is>
      </c>
      <c r="S17" t="inlineStr">
        <is>
          <t>Laboratorio de Ingeniería Ambiental, Facultad de Ingeniería, UNAL Bogotá (LIA)</t>
        </is>
      </c>
      <c r="T17" t="inlineStr">
        <is>
          <t>39915</t>
        </is>
      </c>
      <c r="U17" t="inlineStr">
        <is>
          <t>PDF ANALISIS_39915.pdf (informe original)</t>
        </is>
      </c>
      <c r="V17" t="inlineStr">
        <is>
          <t>tipo_muestra_informe_superficial_pero_es_pozo</t>
        </is>
      </c>
    </row>
    <row r="18">
      <c r="A18" t="inlineStr">
        <is>
          <t>Leticia</t>
        </is>
      </c>
      <c r="B18" t="inlineStr">
        <is>
          <t>UN-LE-025</t>
        </is>
      </c>
      <c r="C18" t="inlineStr">
        <is>
          <t>Agua cruda, superficial, pozo Universidad Nacional Amazonia</t>
        </is>
      </c>
      <c r="D18" t="inlineStr">
        <is>
          <t>POZO_UN</t>
        </is>
      </c>
      <c r="E18" t="inlineStr">
        <is>
          <t>subterránea (pozo)</t>
        </is>
      </c>
      <c r="F18" t="inlineStr">
        <is>
          <t>2026-06-18</t>
        </is>
      </c>
      <c r="G18" t="inlineStr">
        <is>
          <t>2026-06-18</t>
        </is>
      </c>
      <c r="H18" t="inlineStr">
        <is>
          <t>2026-06</t>
        </is>
      </c>
      <c r="I18" t="inlineStr">
        <is>
          <t>nitritos_n</t>
        </is>
      </c>
      <c r="J18" t="inlineStr">
        <is>
          <t>Nitritos</t>
        </is>
      </c>
      <c r="K18" t="n">
        <v>0.1</v>
      </c>
      <c r="L18" t="inlineStr">
        <is>
          <t>&lt;</t>
        </is>
      </c>
      <c r="M18" t="n">
        <v>0.1</v>
      </c>
      <c r="N18" t="inlineStr">
        <is>
          <t>&lt;0,1</t>
        </is>
      </c>
      <c r="O18" t="inlineStr">
        <is>
          <t>mg/L N-NO2-</t>
        </is>
      </c>
      <c r="P18" t="inlineStr">
        <is>
          <t>N (de NO2-)</t>
        </is>
      </c>
      <c r="Q18" t="inlineStr">
        <is>
          <t>SM 4110 B</t>
        </is>
      </c>
      <c r="R18" t="inlineStr">
        <is>
          <t>2026-06-23</t>
        </is>
      </c>
      <c r="S18" t="inlineStr">
        <is>
          <t>Laboratorio de Ingeniería Ambiental, Facultad de Ingeniería, UNAL Bogotá (LIA)</t>
        </is>
      </c>
      <c r="T18" t="inlineStr">
        <is>
          <t>39915</t>
        </is>
      </c>
      <c r="U18" t="inlineStr">
        <is>
          <t>PDF ANALISIS_39915.pdf (informe original)</t>
        </is>
      </c>
      <c r="V18" t="inlineStr">
        <is>
          <t>tipo_muestra_informe_superficial_pero_es_pozo</t>
        </is>
      </c>
    </row>
    <row r="19">
      <c r="A19" t="inlineStr">
        <is>
          <t>Leticia</t>
        </is>
      </c>
      <c r="B19" t="inlineStr">
        <is>
          <t>UN-LE-025</t>
        </is>
      </c>
      <c r="C19" t="inlineStr">
        <is>
          <t>Agua cruda, superficial, pozo Universidad Nacional Amazonia</t>
        </is>
      </c>
      <c r="D19" t="inlineStr">
        <is>
          <t>POZO_UN</t>
        </is>
      </c>
      <c r="E19" t="inlineStr">
        <is>
          <t>subterránea (pozo)</t>
        </is>
      </c>
      <c r="F19" t="inlineStr">
        <is>
          <t>2026-06-18</t>
        </is>
      </c>
      <c r="G19" t="inlineStr">
        <is>
          <t>2026-06-18</t>
        </is>
      </c>
      <c r="H19" t="inlineStr">
        <is>
          <t>2026-06</t>
        </is>
      </c>
      <c r="I19" t="inlineStr">
        <is>
          <t>nitratos_n</t>
        </is>
      </c>
      <c r="J19" t="inlineStr">
        <is>
          <t>Nitratos</t>
        </is>
      </c>
      <c r="K19" t="n">
        <v>1.3</v>
      </c>
      <c r="L19" t="inlineStr"/>
      <c r="N19" t="inlineStr">
        <is>
          <t>1,3</t>
        </is>
      </c>
      <c r="O19" t="inlineStr">
        <is>
          <t>mg/L N-NO3-</t>
        </is>
      </c>
      <c r="P19" t="inlineStr">
        <is>
          <t>N (de NO3-)</t>
        </is>
      </c>
      <c r="Q19" t="inlineStr">
        <is>
          <t>SM 4110 B</t>
        </is>
      </c>
      <c r="R19" t="inlineStr">
        <is>
          <t>2026-06-23</t>
        </is>
      </c>
      <c r="S19" t="inlineStr">
        <is>
          <t>Laboratorio de Ingeniería Ambiental, Facultad de Ingeniería, UNAL Bogotá (LIA)</t>
        </is>
      </c>
      <c r="T19" t="inlineStr">
        <is>
          <t>39915</t>
        </is>
      </c>
      <c r="U19" t="inlineStr">
        <is>
          <t>PDF ANALISIS_39915.pdf (informe original)</t>
        </is>
      </c>
      <c r="V19" t="inlineStr">
        <is>
          <t>tipo_muestra_informe_superficial_pero_es_pozo</t>
        </is>
      </c>
    </row>
    <row r="20">
      <c r="A20" t="inlineStr">
        <is>
          <t>Leticia</t>
        </is>
      </c>
      <c r="B20" t="inlineStr">
        <is>
          <t>UN-LE-025</t>
        </is>
      </c>
      <c r="C20" t="inlineStr">
        <is>
          <t>Agua cruda, superficial, pozo Universidad Nacional Amazonia</t>
        </is>
      </c>
      <c r="D20" t="inlineStr">
        <is>
          <t>POZO_UN</t>
        </is>
      </c>
      <c r="E20" t="inlineStr">
        <is>
          <t>subterránea (pozo)</t>
        </is>
      </c>
      <c r="F20" t="inlineStr">
        <is>
          <t>2026-06-18</t>
        </is>
      </c>
      <c r="G20" t="inlineStr">
        <is>
          <t>2026-06-18</t>
        </is>
      </c>
      <c r="H20" t="inlineStr">
        <is>
          <t>2026-06</t>
        </is>
      </c>
      <c r="I20" t="inlineStr">
        <is>
          <t>cloruros</t>
        </is>
      </c>
      <c r="J20" t="inlineStr">
        <is>
          <t>Cloruros</t>
        </is>
      </c>
      <c r="K20" t="n">
        <v>0.8</v>
      </c>
      <c r="L20" t="inlineStr"/>
      <c r="N20" t="inlineStr">
        <is>
          <t>0,8</t>
        </is>
      </c>
      <c r="O20" t="inlineStr">
        <is>
          <t>mg/L Cl-</t>
        </is>
      </c>
      <c r="P20" t="inlineStr">
        <is>
          <t>Cl-</t>
        </is>
      </c>
      <c r="Q20" t="inlineStr">
        <is>
          <t>SM 4110 B</t>
        </is>
      </c>
      <c r="R20" t="inlineStr">
        <is>
          <t>2026-06-23</t>
        </is>
      </c>
      <c r="S20" t="inlineStr">
        <is>
          <t>Laboratorio de Ingeniería Ambiental, Facultad de Ingeniería, UNAL Bogotá (LIA)</t>
        </is>
      </c>
      <c r="T20" t="inlineStr">
        <is>
          <t>39915</t>
        </is>
      </c>
      <c r="U20" t="inlineStr">
        <is>
          <t>PDF ANALISIS_39915.pdf (informe original)</t>
        </is>
      </c>
      <c r="V20" t="inlineStr">
        <is>
          <t>tipo_muestra_informe_superficial_pero_es_pozo</t>
        </is>
      </c>
    </row>
    <row r="21">
      <c r="A21" t="inlineStr">
        <is>
          <t>Leticia</t>
        </is>
      </c>
      <c r="B21" t="inlineStr">
        <is>
          <t>UN-LE-025</t>
        </is>
      </c>
      <c r="C21" t="inlineStr">
        <is>
          <t>Agua cruda, superficial, pozo Universidad Nacional Amazonia</t>
        </is>
      </c>
      <c r="D21" t="inlineStr">
        <is>
          <t>POZO_UN</t>
        </is>
      </c>
      <c r="E21" t="inlineStr">
        <is>
          <t>subterránea (pozo)</t>
        </is>
      </c>
      <c r="F21" t="inlineStr">
        <is>
          <t>2026-06-18</t>
        </is>
      </c>
      <c r="G21" t="inlineStr">
        <is>
          <t>2026-06-18</t>
        </is>
      </c>
      <c r="H21" t="inlineStr">
        <is>
          <t>2026-06</t>
        </is>
      </c>
      <c r="I21" t="inlineStr">
        <is>
          <t>sulfatos</t>
        </is>
      </c>
      <c r="J21" t="inlineStr">
        <is>
          <t>Sulfatos</t>
        </is>
      </c>
      <c r="K21" t="n">
        <v>0.8</v>
      </c>
      <c r="L21" t="inlineStr"/>
      <c r="N21" t="inlineStr">
        <is>
          <t>0,8</t>
        </is>
      </c>
      <c r="O21" t="inlineStr">
        <is>
          <t>mg/L SO4=</t>
        </is>
      </c>
      <c r="P21" t="inlineStr">
        <is>
          <t>SO4 2-</t>
        </is>
      </c>
      <c r="Q21" t="inlineStr">
        <is>
          <t>SM 4110 B</t>
        </is>
      </c>
      <c r="R21" t="inlineStr">
        <is>
          <t>2026-06-23</t>
        </is>
      </c>
      <c r="S21" t="inlineStr">
        <is>
          <t>Laboratorio de Ingeniería Ambiental, Facultad de Ingeniería, UNAL Bogotá (LIA)</t>
        </is>
      </c>
      <c r="T21" t="inlineStr">
        <is>
          <t>39915</t>
        </is>
      </c>
      <c r="U21" t="inlineStr">
        <is>
          <t>PDF ANALISIS_39915.pdf (informe original)</t>
        </is>
      </c>
      <c r="V21" t="inlineStr">
        <is>
          <t>tipo_muestra_informe_superficial_pero_es_pozo</t>
        </is>
      </c>
    </row>
    <row r="22">
      <c r="A22" t="inlineStr">
        <is>
          <t>Leticia</t>
        </is>
      </c>
      <c r="B22" t="inlineStr">
        <is>
          <t>UN-LE-025</t>
        </is>
      </c>
      <c r="C22" t="inlineStr">
        <is>
          <t>Agua cruda, superficial, pozo Universidad Nacional Amazonia</t>
        </is>
      </c>
      <c r="D22" t="inlineStr">
        <is>
          <t>POZO_UN</t>
        </is>
      </c>
      <c r="E22" t="inlineStr">
        <is>
          <t>subterránea (pozo)</t>
        </is>
      </c>
      <c r="F22" t="inlineStr">
        <is>
          <t>2026-06-18</t>
        </is>
      </c>
      <c r="G22" t="inlineStr">
        <is>
          <t>2026-06-18</t>
        </is>
      </c>
      <c r="H22" t="inlineStr">
        <is>
          <t>2026-06</t>
        </is>
      </c>
      <c r="I22" t="inlineStr">
        <is>
          <t>ortofosfatos</t>
        </is>
      </c>
      <c r="J22" t="inlineStr">
        <is>
          <t>Ortofosfatos</t>
        </is>
      </c>
      <c r="K22" t="n">
        <v>0.2</v>
      </c>
      <c r="L22" t="inlineStr">
        <is>
          <t>&lt;</t>
        </is>
      </c>
      <c r="M22" t="n">
        <v>0.2</v>
      </c>
      <c r="N22" t="inlineStr">
        <is>
          <t>&lt;0,2</t>
        </is>
      </c>
      <c r="O22" t="inlineStr">
        <is>
          <t>mg/L PO4-3</t>
        </is>
      </c>
      <c r="P22" t="inlineStr">
        <is>
          <t>PO4 3-</t>
        </is>
      </c>
      <c r="Q22" t="inlineStr">
        <is>
          <t>SM 4110 B</t>
        </is>
      </c>
      <c r="R22" t="inlineStr">
        <is>
          <t>2026-06-23</t>
        </is>
      </c>
      <c r="S22" t="inlineStr">
        <is>
          <t>Laboratorio de Ingeniería Ambiental, Facultad de Ingeniería, UNAL Bogotá (LIA)</t>
        </is>
      </c>
      <c r="T22" t="inlineStr">
        <is>
          <t>39915</t>
        </is>
      </c>
      <c r="U22" t="inlineStr">
        <is>
          <t>PDF ANALISIS_39915.pdf (informe original)</t>
        </is>
      </c>
      <c r="V22" t="inlineStr">
        <is>
          <t>tipo_muestra_informe_superficial_pero_es_pozo</t>
        </is>
      </c>
    </row>
    <row r="23">
      <c r="A23" t="inlineStr">
        <is>
          <t>Leticia</t>
        </is>
      </c>
      <c r="B23" t="inlineStr">
        <is>
          <t>UN-LE-025</t>
        </is>
      </c>
      <c r="C23" t="inlineStr">
        <is>
          <t>Agua cruda, superficial, pozo Universidad Nacional Amazonia</t>
        </is>
      </c>
      <c r="D23" t="inlineStr">
        <is>
          <t>POZO_UN</t>
        </is>
      </c>
      <c r="E23" t="inlineStr">
        <is>
          <t>subterránea (pozo)</t>
        </is>
      </c>
      <c r="F23" t="inlineStr">
        <is>
          <t>2026-06-18</t>
        </is>
      </c>
      <c r="G23" t="inlineStr">
        <is>
          <t>2026-06-18</t>
        </is>
      </c>
      <c r="H23" t="inlineStr">
        <is>
          <t>2026-06</t>
        </is>
      </c>
      <c r="I23" t="inlineStr">
        <is>
          <t>solidos_totales</t>
        </is>
      </c>
      <c r="J23" t="inlineStr">
        <is>
          <t>Sólidos Totales</t>
        </is>
      </c>
      <c r="K23" t="n">
        <v>47</v>
      </c>
      <c r="L23" t="inlineStr"/>
      <c r="N23" t="inlineStr">
        <is>
          <t>47</t>
        </is>
      </c>
      <c r="O23" t="inlineStr">
        <is>
          <t>mg/L</t>
        </is>
      </c>
      <c r="P23" t="inlineStr">
        <is>
          <t>residuo a 103–105 °C</t>
        </is>
      </c>
      <c r="Q23" t="inlineStr">
        <is>
          <t>SM 2540 B</t>
        </is>
      </c>
      <c r="R23" t="inlineStr">
        <is>
          <t>2026-06-23</t>
        </is>
      </c>
      <c r="S23" t="inlineStr">
        <is>
          <t>Laboratorio de Ingeniería Ambiental, Facultad de Ingeniería, UNAL Bogotá (LIA)</t>
        </is>
      </c>
      <c r="T23" t="inlineStr">
        <is>
          <t>39915</t>
        </is>
      </c>
      <c r="U23" t="inlineStr">
        <is>
          <t>PDF ANALISIS_39915.pdf (informe original)</t>
        </is>
      </c>
      <c r="V23" t="inlineStr">
        <is>
          <t>tipo_muestra_informe_superficial_pero_es_pozo</t>
        </is>
      </c>
    </row>
    <row r="24">
      <c r="A24" t="inlineStr">
        <is>
          <t>Leticia</t>
        </is>
      </c>
      <c r="B24" t="inlineStr">
        <is>
          <t>UN-LE-025</t>
        </is>
      </c>
      <c r="C24" t="inlineStr">
        <is>
          <t>Agua cruda, superficial, pozo Universidad Nacional Amazonia</t>
        </is>
      </c>
      <c r="D24" t="inlineStr">
        <is>
          <t>POZO_UN</t>
        </is>
      </c>
      <c r="E24" t="inlineStr">
        <is>
          <t>subterránea (pozo)</t>
        </is>
      </c>
      <c r="F24" t="inlineStr">
        <is>
          <t>2026-06-18</t>
        </is>
      </c>
      <c r="G24" t="inlineStr">
        <is>
          <t>2026-06-18</t>
        </is>
      </c>
      <c r="H24" t="inlineStr">
        <is>
          <t>2026-06</t>
        </is>
      </c>
      <c r="I24" t="inlineStr">
        <is>
          <t>sst</t>
        </is>
      </c>
      <c r="J24" t="inlineStr">
        <is>
          <t>Sólidos Suspendidos Totales</t>
        </is>
      </c>
      <c r="K24" t="n">
        <v>7</v>
      </c>
      <c r="L24" t="inlineStr"/>
      <c r="N24" t="inlineStr">
        <is>
          <t>7</t>
        </is>
      </c>
      <c r="O24" t="inlineStr">
        <is>
          <t>mg/L</t>
        </is>
      </c>
      <c r="P24" t="inlineStr">
        <is>
          <t>retenidos en filtro</t>
        </is>
      </c>
      <c r="Q24" t="inlineStr">
        <is>
          <t>SM 2540 D</t>
        </is>
      </c>
      <c r="R24" t="inlineStr">
        <is>
          <t>2026-06-24</t>
        </is>
      </c>
      <c r="S24" t="inlineStr">
        <is>
          <t>Laboratorio de Ingeniería Ambiental, Facultad de Ingeniería, UNAL Bogotá (LIA)</t>
        </is>
      </c>
      <c r="T24" t="inlineStr">
        <is>
          <t>39915</t>
        </is>
      </c>
      <c r="U24" t="inlineStr">
        <is>
          <t>PDF ANALISIS_39915.pdf (informe original)</t>
        </is>
      </c>
      <c r="V24" t="inlineStr">
        <is>
          <t>tipo_muestra_informe_superficial_pero_es_pozo</t>
        </is>
      </c>
    </row>
    <row r="25">
      <c r="A25" t="inlineStr">
        <is>
          <t>Leticia</t>
        </is>
      </c>
      <c r="B25" t="inlineStr">
        <is>
          <t>UN-LE-025</t>
        </is>
      </c>
      <c r="C25" t="inlineStr">
        <is>
          <t>Agua cruda, superficial, pozo Universidad Nacional Amazonia</t>
        </is>
      </c>
      <c r="D25" t="inlineStr">
        <is>
          <t>POZO_UN</t>
        </is>
      </c>
      <c r="E25" t="inlineStr">
        <is>
          <t>subterránea (pozo)</t>
        </is>
      </c>
      <c r="F25" t="inlineStr">
        <is>
          <t>2026-06-18</t>
        </is>
      </c>
      <c r="G25" t="inlineStr">
        <is>
          <t>2026-06-18</t>
        </is>
      </c>
      <c r="H25" t="inlineStr">
        <is>
          <t>2026-06</t>
        </is>
      </c>
      <c r="I25" t="inlineStr">
        <is>
          <t>coliformes_totales</t>
        </is>
      </c>
      <c r="J25" t="inlineStr">
        <is>
          <t>Coliformes totales</t>
        </is>
      </c>
      <c r="K25" t="n">
        <v>490</v>
      </c>
      <c r="L25" t="inlineStr"/>
      <c r="N25" t="inlineStr">
        <is>
          <t>490</t>
        </is>
      </c>
      <c r="O25" t="inlineStr">
        <is>
          <t>NMP/100 mL</t>
        </is>
      </c>
      <c r="P25" t="inlineStr">
        <is>
          <t>NMP</t>
        </is>
      </c>
      <c r="Q25" t="inlineStr">
        <is>
          <t>SM 9221 C</t>
        </is>
      </c>
      <c r="R25" t="inlineStr">
        <is>
          <t>2026-06-22</t>
        </is>
      </c>
      <c r="S25" t="inlineStr">
        <is>
          <t>Laboratorio de Ingeniería Ambiental, Facultad de Ingeniería, UNAL Bogotá (LIA)</t>
        </is>
      </c>
      <c r="T25" t="inlineStr">
        <is>
          <t>39915</t>
        </is>
      </c>
      <c r="U25" t="inlineStr">
        <is>
          <t>PDF ANALISIS_39915.pdf (informe original)</t>
        </is>
      </c>
      <c r="V25" t="inlineStr">
        <is>
          <t>tipo_muestra_informe_superficial_pero_es_pozo</t>
        </is>
      </c>
    </row>
    <row r="26">
      <c r="A26" t="inlineStr">
        <is>
          <t>Leticia</t>
        </is>
      </c>
      <c r="B26" t="inlineStr">
        <is>
          <t>UN-LE-025</t>
        </is>
      </c>
      <c r="C26" t="inlineStr">
        <is>
          <t>Agua cruda, superficial, pozo Universidad Nacional Amazonia</t>
        </is>
      </c>
      <c r="D26" t="inlineStr">
        <is>
          <t>POZO_UN</t>
        </is>
      </c>
      <c r="E26" t="inlineStr">
        <is>
          <t>subterránea (pozo)</t>
        </is>
      </c>
      <c r="F26" t="inlineStr">
        <is>
          <t>2026-06-18</t>
        </is>
      </c>
      <c r="G26" t="inlineStr">
        <is>
          <t>2026-06-18</t>
        </is>
      </c>
      <c r="H26" t="inlineStr">
        <is>
          <t>2026-06</t>
        </is>
      </c>
      <c r="I26" t="inlineStr">
        <is>
          <t>e_coli</t>
        </is>
      </c>
      <c r="J26" t="inlineStr">
        <is>
          <t>E. coli</t>
        </is>
      </c>
      <c r="K26" t="n">
        <v>93</v>
      </c>
      <c r="L26" t="inlineStr"/>
      <c r="N26" t="inlineStr">
        <is>
          <t>93</t>
        </is>
      </c>
      <c r="O26" t="inlineStr">
        <is>
          <t>NMP/100 mL</t>
        </is>
      </c>
      <c r="P26" t="inlineStr">
        <is>
          <t>NMP</t>
        </is>
      </c>
      <c r="Q26" t="inlineStr">
        <is>
          <t>SM 9221 C</t>
        </is>
      </c>
      <c r="R26" t="inlineStr">
        <is>
          <t>2026-06-22</t>
        </is>
      </c>
      <c r="S26" t="inlineStr">
        <is>
          <t>Laboratorio de Ingeniería Ambiental, Facultad de Ingeniería, UNAL Bogotá (LIA)</t>
        </is>
      </c>
      <c r="T26" t="inlineStr">
        <is>
          <t>39915</t>
        </is>
      </c>
      <c r="U26" t="inlineStr">
        <is>
          <t>PDF ANALISIS_39915.pdf (informe original)</t>
        </is>
      </c>
      <c r="V26" t="inlineStr">
        <is>
          <t>tipo_muestra_informe_superficial_pero_es_pozo</t>
        </is>
      </c>
    </row>
    <row r="27">
      <c r="A27" t="inlineStr">
        <is>
          <t>Leticia</t>
        </is>
      </c>
      <c r="B27" t="inlineStr">
        <is>
          <t>UN-LE-026</t>
        </is>
      </c>
      <c r="C27" t="inlineStr">
        <is>
          <t>Agua cruda, superficial, pozo, residencia profesor</t>
        </is>
      </c>
      <c r="D27" t="inlineStr">
        <is>
          <t>POZO_PROFE</t>
        </is>
      </c>
      <c r="E27" t="inlineStr">
        <is>
          <t>subterránea (pozo)</t>
        </is>
      </c>
      <c r="F27" t="inlineStr">
        <is>
          <t>2026-06-18</t>
        </is>
      </c>
      <c r="G27" t="inlineStr">
        <is>
          <t>2026-06-18</t>
        </is>
      </c>
      <c r="H27" t="inlineStr">
        <is>
          <t>2026-06</t>
        </is>
      </c>
      <c r="I27" t="inlineStr">
        <is>
          <t>turbiedad</t>
        </is>
      </c>
      <c r="J27" t="inlineStr">
        <is>
          <t>Turbiedad</t>
        </is>
      </c>
      <c r="K27" t="n">
        <v>0.73</v>
      </c>
      <c r="L27" t="inlineStr"/>
      <c r="N27" t="inlineStr">
        <is>
          <t>0,73</t>
        </is>
      </c>
      <c r="O27" t="inlineStr">
        <is>
          <t>UNT</t>
        </is>
      </c>
      <c r="P27" t="inlineStr">
        <is>
          <t>turbiedad nefelométrica</t>
        </is>
      </c>
      <c r="Q27" t="inlineStr">
        <is>
          <t>SM 2130 B</t>
        </is>
      </c>
      <c r="R27" t="inlineStr">
        <is>
          <t>2026-06-22</t>
        </is>
      </c>
      <c r="S27" t="inlineStr">
        <is>
          <t>Laboratorio de Ingeniería Ambiental, Facultad de Ingeniería, UNAL Bogotá (LIA)</t>
        </is>
      </c>
      <c r="T27" t="inlineStr">
        <is>
          <t>39916</t>
        </is>
      </c>
      <c r="U27" t="inlineStr">
        <is>
          <t>PDF ANALISIS_39916.pdf (informe original)</t>
        </is>
      </c>
      <c r="V27" t="inlineStr">
        <is>
          <t>tipo_muestra_informe_superficial_pero_es_pozo</t>
        </is>
      </c>
    </row>
    <row r="28">
      <c r="A28" t="inlineStr">
        <is>
          <t>Leticia</t>
        </is>
      </c>
      <c r="B28" t="inlineStr">
        <is>
          <t>UN-LE-026</t>
        </is>
      </c>
      <c r="C28" t="inlineStr">
        <is>
          <t>Agua cruda, superficial, pozo, residencia profesor</t>
        </is>
      </c>
      <c r="D28" t="inlineStr">
        <is>
          <t>POZO_PROFE</t>
        </is>
      </c>
      <c r="E28" t="inlineStr">
        <is>
          <t>subterránea (pozo)</t>
        </is>
      </c>
      <c r="F28" t="inlineStr">
        <is>
          <t>2026-06-18</t>
        </is>
      </c>
      <c r="G28" t="inlineStr">
        <is>
          <t>2026-06-18</t>
        </is>
      </c>
      <c r="H28" t="inlineStr">
        <is>
          <t>2026-06</t>
        </is>
      </c>
      <c r="I28" t="inlineStr">
        <is>
          <t>color_aparente</t>
        </is>
      </c>
      <c r="J28" t="inlineStr">
        <is>
          <t>Color Aparente</t>
        </is>
      </c>
      <c r="K28" t="n">
        <v>7</v>
      </c>
      <c r="L28" t="inlineStr"/>
      <c r="N28" t="inlineStr">
        <is>
          <t>7</t>
        </is>
      </c>
      <c r="O28" t="inlineStr">
        <is>
          <t>UPC</t>
        </is>
      </c>
      <c r="P28" t="inlineStr">
        <is>
          <t>Pt-Co, sin filtrar</t>
        </is>
      </c>
      <c r="Q28" t="inlineStr">
        <is>
          <t>SM 2120 B</t>
        </is>
      </c>
      <c r="R28" t="inlineStr">
        <is>
          <t>2026-06-22</t>
        </is>
      </c>
      <c r="S28" t="inlineStr">
        <is>
          <t>Laboratorio de Ingeniería Ambiental, Facultad de Ingeniería, UNAL Bogotá (LIA)</t>
        </is>
      </c>
      <c r="T28" t="inlineStr">
        <is>
          <t>39916</t>
        </is>
      </c>
      <c r="U28" t="inlineStr">
        <is>
          <t>PDF ANALISIS_39916.pdf (informe original)</t>
        </is>
      </c>
      <c r="V28" t="inlineStr">
        <is>
          <t>tipo_muestra_informe_superficial_pero_es_pozo</t>
        </is>
      </c>
    </row>
    <row r="29">
      <c r="A29" t="inlineStr">
        <is>
          <t>Leticia</t>
        </is>
      </c>
      <c r="B29" t="inlineStr">
        <is>
          <t>UN-LE-026</t>
        </is>
      </c>
      <c r="C29" t="inlineStr">
        <is>
          <t>Agua cruda, superficial, pozo, residencia profesor</t>
        </is>
      </c>
      <c r="D29" t="inlineStr">
        <is>
          <t>POZO_PROFE</t>
        </is>
      </c>
      <c r="E29" t="inlineStr">
        <is>
          <t>subterránea (pozo)</t>
        </is>
      </c>
      <c r="F29" t="inlineStr">
        <is>
          <t>2026-06-18</t>
        </is>
      </c>
      <c r="G29" t="inlineStr">
        <is>
          <t>2026-06-18</t>
        </is>
      </c>
      <c r="H29" t="inlineStr">
        <is>
          <t>2026-06</t>
        </is>
      </c>
      <c r="I29" t="inlineStr">
        <is>
          <t>ph</t>
        </is>
      </c>
      <c r="J29" t="inlineStr">
        <is>
          <t>pH</t>
        </is>
      </c>
      <c r="K29" t="n">
        <v>6.32</v>
      </c>
      <c r="L29" t="inlineStr"/>
      <c r="N29" t="inlineStr">
        <is>
          <t>6,32</t>
        </is>
      </c>
      <c r="O29" t="inlineStr">
        <is>
          <t>Unidades</t>
        </is>
      </c>
      <c r="P29" t="inlineStr">
        <is>
          <t>pH</t>
        </is>
      </c>
      <c r="Q29" t="inlineStr">
        <is>
          <t>SM 4500 H+B</t>
        </is>
      </c>
      <c r="R29" t="inlineStr">
        <is>
          <t>2026-06-22</t>
        </is>
      </c>
      <c r="S29" t="inlineStr">
        <is>
          <t>Laboratorio de Ingeniería Ambiental, Facultad de Ingeniería, UNAL Bogotá (LIA)</t>
        </is>
      </c>
      <c r="T29" t="inlineStr">
        <is>
          <t>39916</t>
        </is>
      </c>
      <c r="U29" t="inlineStr">
        <is>
          <t>PDF ANALISIS_39916.pdf (informe original)</t>
        </is>
      </c>
      <c r="V29" t="inlineStr">
        <is>
          <t>tipo_muestra_informe_superficial_pero_es_pozo</t>
        </is>
      </c>
    </row>
    <row r="30">
      <c r="A30" t="inlineStr">
        <is>
          <t>Leticia</t>
        </is>
      </c>
      <c r="B30" t="inlineStr">
        <is>
          <t>UN-LE-026</t>
        </is>
      </c>
      <c r="C30" t="inlineStr">
        <is>
          <t>Agua cruda, superficial, pozo, residencia profesor</t>
        </is>
      </c>
      <c r="D30" t="inlineStr">
        <is>
          <t>POZO_PROFE</t>
        </is>
      </c>
      <c r="E30" t="inlineStr">
        <is>
          <t>subterránea (pozo)</t>
        </is>
      </c>
      <c r="F30" t="inlineStr">
        <is>
          <t>2026-06-18</t>
        </is>
      </c>
      <c r="G30" t="inlineStr">
        <is>
          <t>2026-06-18</t>
        </is>
      </c>
      <c r="H30" t="inlineStr">
        <is>
          <t>2026-06</t>
        </is>
      </c>
      <c r="I30" t="inlineStr">
        <is>
          <t>conductividad</t>
        </is>
      </c>
      <c r="J30" t="inlineStr">
        <is>
          <t>Conductividad Específica</t>
        </is>
      </c>
      <c r="K30" t="n">
        <v>12.5</v>
      </c>
      <c r="L30" t="inlineStr"/>
      <c r="N30" t="inlineStr">
        <is>
          <t>12,5</t>
        </is>
      </c>
      <c r="O30" t="inlineStr">
        <is>
          <t>µS/cm 25 °C</t>
        </is>
      </c>
      <c r="P30" t="inlineStr">
        <is>
          <t>CE a 25 °C</t>
        </is>
      </c>
      <c r="Q30" t="inlineStr">
        <is>
          <t>SM 2510 B</t>
        </is>
      </c>
      <c r="R30" t="inlineStr">
        <is>
          <t>2026-06-22</t>
        </is>
      </c>
      <c r="S30" t="inlineStr">
        <is>
          <t>Laboratorio de Ingeniería Ambiental, Facultad de Ingeniería, UNAL Bogotá (LIA)</t>
        </is>
      </c>
      <c r="T30" t="inlineStr">
        <is>
          <t>39916</t>
        </is>
      </c>
      <c r="U30" t="inlineStr">
        <is>
          <t>PDF ANALISIS_39916.pdf (informe original)</t>
        </is>
      </c>
      <c r="V30" t="inlineStr">
        <is>
          <t>tipo_muestra_informe_superficial_pero_es_pozo</t>
        </is>
      </c>
    </row>
    <row r="31">
      <c r="A31" t="inlineStr">
        <is>
          <t>Leticia</t>
        </is>
      </c>
      <c r="B31" t="inlineStr">
        <is>
          <t>UN-LE-026</t>
        </is>
      </c>
      <c r="C31" t="inlineStr">
        <is>
          <t>Agua cruda, superficial, pozo, residencia profesor</t>
        </is>
      </c>
      <c r="D31" t="inlineStr">
        <is>
          <t>POZO_PROFE</t>
        </is>
      </c>
      <c r="E31" t="inlineStr">
        <is>
          <t>subterránea (pozo)</t>
        </is>
      </c>
      <c r="F31" t="inlineStr">
        <is>
          <t>2026-06-18</t>
        </is>
      </c>
      <c r="G31" t="inlineStr">
        <is>
          <t>2026-06-18</t>
        </is>
      </c>
      <c r="H31" t="inlineStr">
        <is>
          <t>2026-06</t>
        </is>
      </c>
      <c r="I31" t="inlineStr">
        <is>
          <t>alcalinidad</t>
        </is>
      </c>
      <c r="J31" t="inlineStr">
        <is>
          <t>Alcalinidad total</t>
        </is>
      </c>
      <c r="K31" t="n">
        <v>6</v>
      </c>
      <c r="L31" t="inlineStr"/>
      <c r="N31" t="inlineStr">
        <is>
          <t>6</t>
        </is>
      </c>
      <c r="O31" t="inlineStr">
        <is>
          <t>mg/L CaCO3</t>
        </is>
      </c>
      <c r="P31" t="inlineStr">
        <is>
          <t>CaCO3</t>
        </is>
      </c>
      <c r="Q31" t="inlineStr">
        <is>
          <t>SM 2320 (Indicador)</t>
        </is>
      </c>
      <c r="R31" t="inlineStr">
        <is>
          <t>2026-06-22</t>
        </is>
      </c>
      <c r="S31" t="inlineStr">
        <is>
          <t>Laboratorio de Ingeniería Ambiental, Facultad de Ingeniería, UNAL Bogotá (LIA)</t>
        </is>
      </c>
      <c r="T31" t="inlineStr">
        <is>
          <t>39916</t>
        </is>
      </c>
      <c r="U31" t="inlineStr">
        <is>
          <t>PDF ANALISIS_39916.pdf (informe original)</t>
        </is>
      </c>
      <c r="V31" t="inlineStr">
        <is>
          <t>tipo_muestra_informe_superficial_pero_es_pozo</t>
        </is>
      </c>
    </row>
    <row r="32">
      <c r="A32" t="inlineStr">
        <is>
          <t>Leticia</t>
        </is>
      </c>
      <c r="B32" t="inlineStr">
        <is>
          <t>UN-LE-026</t>
        </is>
      </c>
      <c r="C32" t="inlineStr">
        <is>
          <t>Agua cruda, superficial, pozo, residencia profesor</t>
        </is>
      </c>
      <c r="D32" t="inlineStr">
        <is>
          <t>POZO_PROFE</t>
        </is>
      </c>
      <c r="E32" t="inlineStr">
        <is>
          <t>subterránea (pozo)</t>
        </is>
      </c>
      <c r="F32" t="inlineStr">
        <is>
          <t>2026-06-18</t>
        </is>
      </c>
      <c r="G32" t="inlineStr">
        <is>
          <t>2026-06-18</t>
        </is>
      </c>
      <c r="H32" t="inlineStr">
        <is>
          <t>2026-06</t>
        </is>
      </c>
      <c r="I32" t="inlineStr">
        <is>
          <t>acidez</t>
        </is>
      </c>
      <c r="J32" t="inlineStr">
        <is>
          <t>Acidez total</t>
        </is>
      </c>
      <c r="K32" t="n">
        <v>5</v>
      </c>
      <c r="L32" t="inlineStr">
        <is>
          <t>&lt;</t>
        </is>
      </c>
      <c r="M32" t="n">
        <v>5</v>
      </c>
      <c r="N32" t="inlineStr">
        <is>
          <t>&lt;5</t>
        </is>
      </c>
      <c r="O32" t="inlineStr">
        <is>
          <t>mg/L CaCO3</t>
        </is>
      </c>
      <c r="P32" t="inlineStr">
        <is>
          <t>CaCO3</t>
        </is>
      </c>
      <c r="Q32" t="inlineStr">
        <is>
          <t>SM 2310 B</t>
        </is>
      </c>
      <c r="R32" t="inlineStr">
        <is>
          <t>2026-06-22</t>
        </is>
      </c>
      <c r="S32" t="inlineStr">
        <is>
          <t>Laboratorio de Ingeniería Ambiental, Facultad de Ingeniería, UNAL Bogotá (LIA)</t>
        </is>
      </c>
      <c r="T32" t="inlineStr">
        <is>
          <t>39916</t>
        </is>
      </c>
      <c r="U32" t="inlineStr">
        <is>
          <t>PDF ANALISIS_39916.pdf (informe original)</t>
        </is>
      </c>
      <c r="V32" t="inlineStr">
        <is>
          <t>tipo_muestra_informe_superficial_pero_es_pozo</t>
        </is>
      </c>
    </row>
    <row r="33">
      <c r="A33" t="inlineStr">
        <is>
          <t>Leticia</t>
        </is>
      </c>
      <c r="B33" t="inlineStr">
        <is>
          <t>UN-LE-026</t>
        </is>
      </c>
      <c r="C33" t="inlineStr">
        <is>
          <t>Agua cruda, superficial, pozo, residencia profesor</t>
        </is>
      </c>
      <c r="D33" t="inlineStr">
        <is>
          <t>POZO_PROFE</t>
        </is>
      </c>
      <c r="E33" t="inlineStr">
        <is>
          <t>subterránea (pozo)</t>
        </is>
      </c>
      <c r="F33" t="inlineStr">
        <is>
          <t>2026-06-18</t>
        </is>
      </c>
      <c r="G33" t="inlineStr">
        <is>
          <t>2026-06-18</t>
        </is>
      </c>
      <c r="H33" t="inlineStr">
        <is>
          <t>2026-06</t>
        </is>
      </c>
      <c r="I33" t="inlineStr">
        <is>
          <t>dureza_total</t>
        </is>
      </c>
      <c r="J33" t="inlineStr">
        <is>
          <t>Dureza total</t>
        </is>
      </c>
      <c r="K33" t="n">
        <v>5</v>
      </c>
      <c r="L33" t="inlineStr">
        <is>
          <t>&lt;</t>
        </is>
      </c>
      <c r="M33" t="n">
        <v>5</v>
      </c>
      <c r="N33" t="inlineStr">
        <is>
          <t>&lt;5</t>
        </is>
      </c>
      <c r="O33" t="inlineStr">
        <is>
          <t>mg/L CaCO3</t>
        </is>
      </c>
      <c r="P33" t="inlineStr">
        <is>
          <t>CaCO3</t>
        </is>
      </c>
      <c r="Q33" t="inlineStr">
        <is>
          <t>SM 2340 C</t>
        </is>
      </c>
      <c r="R33" t="inlineStr">
        <is>
          <t>2026-06-23</t>
        </is>
      </c>
      <c r="S33" t="inlineStr">
        <is>
          <t>Laboratorio de Ingeniería Ambiental, Facultad de Ingeniería, UNAL Bogotá (LIA)</t>
        </is>
      </c>
      <c r="T33" t="inlineStr">
        <is>
          <t>39916</t>
        </is>
      </c>
      <c r="U33" t="inlineStr">
        <is>
          <t>PDF ANALISIS_39916.pdf (informe original)</t>
        </is>
      </c>
      <c r="V33" t="inlineStr">
        <is>
          <t>tipo_muestra_informe_superficial_pero_es_pozo</t>
        </is>
      </c>
    </row>
    <row r="34">
      <c r="A34" t="inlineStr">
        <is>
          <t>Leticia</t>
        </is>
      </c>
      <c r="B34" t="inlineStr">
        <is>
          <t>UN-LE-026</t>
        </is>
      </c>
      <c r="C34" t="inlineStr">
        <is>
          <t>Agua cruda, superficial, pozo, residencia profesor</t>
        </is>
      </c>
      <c r="D34" t="inlineStr">
        <is>
          <t>POZO_PROFE</t>
        </is>
      </c>
      <c r="E34" t="inlineStr">
        <is>
          <t>subterránea (pozo)</t>
        </is>
      </c>
      <c r="F34" t="inlineStr">
        <is>
          <t>2026-06-18</t>
        </is>
      </c>
      <c r="G34" t="inlineStr">
        <is>
          <t>2026-06-18</t>
        </is>
      </c>
      <c r="H34" t="inlineStr">
        <is>
          <t>2026-06</t>
        </is>
      </c>
      <c r="I34" t="inlineStr">
        <is>
          <t>dureza_calcica</t>
        </is>
      </c>
      <c r="J34" t="inlineStr">
        <is>
          <t>Dureza Cálcica</t>
        </is>
      </c>
      <c r="K34" t="n">
        <v>5</v>
      </c>
      <c r="L34" t="inlineStr">
        <is>
          <t>&lt;</t>
        </is>
      </c>
      <c r="M34" t="n">
        <v>5</v>
      </c>
      <c r="N34" t="inlineStr">
        <is>
          <t>&lt;5</t>
        </is>
      </c>
      <c r="O34" t="inlineStr">
        <is>
          <t>mg/L CaCO3</t>
        </is>
      </c>
      <c r="P34" t="inlineStr">
        <is>
          <t>CaCO3</t>
        </is>
      </c>
      <c r="Q34" t="inlineStr">
        <is>
          <t>SM 3500-Ca,B</t>
        </is>
      </c>
      <c r="R34" t="inlineStr">
        <is>
          <t>2026-06-23</t>
        </is>
      </c>
      <c r="S34" t="inlineStr">
        <is>
          <t>Laboratorio de Ingeniería Ambiental, Facultad de Ingeniería, UNAL Bogotá (LIA)</t>
        </is>
      </c>
      <c r="T34" t="inlineStr">
        <is>
          <t>39916</t>
        </is>
      </c>
      <c r="U34" t="inlineStr">
        <is>
          <t>PDF ANALISIS_39916.pdf (informe original)</t>
        </is>
      </c>
      <c r="V34" t="inlineStr">
        <is>
          <t>tipo_muestra_informe_superficial_pero_es_pozo</t>
        </is>
      </c>
    </row>
    <row r="35">
      <c r="A35" t="inlineStr">
        <is>
          <t>Leticia</t>
        </is>
      </c>
      <c r="B35" t="inlineStr">
        <is>
          <t>UN-LE-026</t>
        </is>
      </c>
      <c r="C35" t="inlineStr">
        <is>
          <t>Agua cruda, superficial, pozo, residencia profesor</t>
        </is>
      </c>
      <c r="D35" t="inlineStr">
        <is>
          <t>POZO_PROFE</t>
        </is>
      </c>
      <c r="E35" t="inlineStr">
        <is>
          <t>subterránea (pozo)</t>
        </is>
      </c>
      <c r="F35" t="inlineStr">
        <is>
          <t>2026-06-18</t>
        </is>
      </c>
      <c r="G35" t="inlineStr">
        <is>
          <t>2026-06-18</t>
        </is>
      </c>
      <c r="H35" t="inlineStr">
        <is>
          <t>2026-06</t>
        </is>
      </c>
      <c r="I35" t="inlineStr">
        <is>
          <t>dureza_magnesica</t>
        </is>
      </c>
      <c r="J35" t="inlineStr">
        <is>
          <t>Dureza Magnésica</t>
        </is>
      </c>
      <c r="K35" t="n">
        <v>2</v>
      </c>
      <c r="L35" t="inlineStr"/>
      <c r="N35" t="inlineStr">
        <is>
          <t>2</t>
        </is>
      </c>
      <c r="O35" t="inlineStr">
        <is>
          <t>mg/L CaCO3</t>
        </is>
      </c>
      <c r="P35" t="inlineStr">
        <is>
          <t>CaCO3</t>
        </is>
      </c>
      <c r="Q35" t="inlineStr">
        <is>
          <t>SM 3500-Mg,B</t>
        </is>
      </c>
      <c r="R35" t="inlineStr">
        <is>
          <t>2026-06-23</t>
        </is>
      </c>
      <c r="S35" t="inlineStr">
        <is>
          <t>Laboratorio de Ingeniería Ambiental, Facultad de Ingeniería, UNAL Bogotá (LIA)</t>
        </is>
      </c>
      <c r="T35" t="inlineStr">
        <is>
          <t>39916</t>
        </is>
      </c>
      <c r="U35" t="inlineStr">
        <is>
          <t>PDF ANALISIS_39916.pdf (informe original)</t>
        </is>
      </c>
      <c r="V35" t="inlineStr">
        <is>
          <t>tipo_muestra_informe_superficial_pero_es_pozo</t>
        </is>
      </c>
    </row>
    <row r="36">
      <c r="A36" t="inlineStr">
        <is>
          <t>Leticia</t>
        </is>
      </c>
      <c r="B36" t="inlineStr">
        <is>
          <t>UN-LE-026</t>
        </is>
      </c>
      <c r="C36" t="inlineStr">
        <is>
          <t>Agua cruda, superficial, pozo, residencia profesor</t>
        </is>
      </c>
      <c r="D36" t="inlineStr">
        <is>
          <t>POZO_PROFE</t>
        </is>
      </c>
      <c r="E36" t="inlineStr">
        <is>
          <t>subterránea (pozo)</t>
        </is>
      </c>
      <c r="F36" t="inlineStr">
        <is>
          <t>2026-06-18</t>
        </is>
      </c>
      <c r="G36" t="inlineStr">
        <is>
          <t>2026-06-18</t>
        </is>
      </c>
      <c r="H36" t="inlineStr">
        <is>
          <t>2026-06</t>
        </is>
      </c>
      <c r="I36" t="inlineStr">
        <is>
          <t>calcio</t>
        </is>
      </c>
      <c r="J36" t="inlineStr">
        <is>
          <t>Calcio por titulación</t>
        </is>
      </c>
      <c r="K36" t="n">
        <v>0</v>
      </c>
      <c r="L36" t="inlineStr"/>
      <c r="N36" t="inlineStr">
        <is>
          <t>0</t>
        </is>
      </c>
      <c r="O36" t="inlineStr">
        <is>
          <t>mg/L Ca</t>
        </is>
      </c>
      <c r="P36" t="inlineStr">
        <is>
          <t>Ca</t>
        </is>
      </c>
      <c r="Q36" t="inlineStr">
        <is>
          <t>SM 3500-Ca,B</t>
        </is>
      </c>
      <c r="R36" t="inlineStr">
        <is>
          <t>2026-06-23</t>
        </is>
      </c>
      <c r="S36" t="inlineStr">
        <is>
          <t>Laboratorio de Ingeniería Ambiental, Facultad de Ingeniería, UNAL Bogotá (LIA)</t>
        </is>
      </c>
      <c r="T36" t="inlineStr">
        <is>
          <t>39916</t>
        </is>
      </c>
      <c r="U36" t="inlineStr">
        <is>
          <t>PDF ANALISIS_39916.pdf (informe original)</t>
        </is>
      </c>
      <c r="V36" t="inlineStr">
        <is>
          <t>tipo_muestra_informe_superficial_pero_es_pozo</t>
        </is>
      </c>
    </row>
    <row r="37">
      <c r="A37" t="inlineStr">
        <is>
          <t>Leticia</t>
        </is>
      </c>
      <c r="B37" t="inlineStr">
        <is>
          <t>UN-LE-026</t>
        </is>
      </c>
      <c r="C37" t="inlineStr">
        <is>
          <t>Agua cruda, superficial, pozo, residencia profesor</t>
        </is>
      </c>
      <c r="D37" t="inlineStr">
        <is>
          <t>POZO_PROFE</t>
        </is>
      </c>
      <c r="E37" t="inlineStr">
        <is>
          <t>subterránea (pozo)</t>
        </is>
      </c>
      <c r="F37" t="inlineStr">
        <is>
          <t>2026-06-18</t>
        </is>
      </c>
      <c r="G37" t="inlineStr">
        <is>
          <t>2026-06-18</t>
        </is>
      </c>
      <c r="H37" t="inlineStr">
        <is>
          <t>2026-06</t>
        </is>
      </c>
      <c r="I37" t="inlineStr">
        <is>
          <t>magnesio</t>
        </is>
      </c>
      <c r="J37" t="inlineStr">
        <is>
          <t>Magnesio</t>
        </is>
      </c>
      <c r="K37" t="n">
        <v>0</v>
      </c>
      <c r="L37" t="inlineStr"/>
      <c r="N37" t="inlineStr">
        <is>
          <t>0</t>
        </is>
      </c>
      <c r="O37" t="inlineStr">
        <is>
          <t>mg/L Mg</t>
        </is>
      </c>
      <c r="P37" t="inlineStr">
        <is>
          <t>Mg</t>
        </is>
      </c>
      <c r="Q37" t="inlineStr">
        <is>
          <t>SM 3500-Mg,B</t>
        </is>
      </c>
      <c r="R37" t="inlineStr">
        <is>
          <t>2026-06-23</t>
        </is>
      </c>
      <c r="S37" t="inlineStr">
        <is>
          <t>Laboratorio de Ingeniería Ambiental, Facultad de Ingeniería, UNAL Bogotá (LIA)</t>
        </is>
      </c>
      <c r="T37" t="inlineStr">
        <is>
          <t>39916</t>
        </is>
      </c>
      <c r="U37" t="inlineStr">
        <is>
          <t>PDF ANALISIS_39916.pdf (informe original)</t>
        </is>
      </c>
      <c r="V37" t="inlineStr">
        <is>
          <t>tipo_muestra_informe_superficial_pero_es_pozo</t>
        </is>
      </c>
    </row>
    <row r="38">
      <c r="A38" t="inlineStr">
        <is>
          <t>Leticia</t>
        </is>
      </c>
      <c r="B38" t="inlineStr">
        <is>
          <t>UN-LE-026</t>
        </is>
      </c>
      <c r="C38" t="inlineStr">
        <is>
          <t>Agua cruda, superficial, pozo, residencia profesor</t>
        </is>
      </c>
      <c r="D38" t="inlineStr">
        <is>
          <t>POZO_PROFE</t>
        </is>
      </c>
      <c r="E38" t="inlineStr">
        <is>
          <t>subterránea (pozo)</t>
        </is>
      </c>
      <c r="F38" t="inlineStr">
        <is>
          <t>2026-06-18</t>
        </is>
      </c>
      <c r="G38" t="inlineStr">
        <is>
          <t>2026-06-18</t>
        </is>
      </c>
      <c r="H38" t="inlineStr">
        <is>
          <t>2026-06</t>
        </is>
      </c>
      <c r="I38" t="inlineStr">
        <is>
          <t>hierro</t>
        </is>
      </c>
      <c r="J38" t="inlineStr">
        <is>
          <t>Hierro</t>
        </is>
      </c>
      <c r="K38" t="n">
        <v>0.1</v>
      </c>
      <c r="L38" t="inlineStr">
        <is>
          <t>&lt;</t>
        </is>
      </c>
      <c r="M38" t="n">
        <v>0.1</v>
      </c>
      <c r="N38" t="inlineStr">
        <is>
          <t>&lt;0,1</t>
        </is>
      </c>
      <c r="O38" t="inlineStr">
        <is>
          <t>mg/L Fe +3</t>
        </is>
      </c>
      <c r="P38" t="inlineStr">
        <is>
          <t>Fe total</t>
        </is>
      </c>
      <c r="Q38" t="inlineStr">
        <is>
          <t>SM 3111 B</t>
        </is>
      </c>
      <c r="R38" t="inlineStr">
        <is>
          <t>2026-07-03</t>
        </is>
      </c>
      <c r="S38" t="inlineStr">
        <is>
          <t>Laboratorio de Ingeniería Ambiental, Facultad de Ingeniería, UNAL Bogotá (LIA)</t>
        </is>
      </c>
      <c r="T38" t="inlineStr">
        <is>
          <t>39916</t>
        </is>
      </c>
      <c r="U38" t="inlineStr">
        <is>
          <t>PDF ANALISIS_39916.pdf (informe original)</t>
        </is>
      </c>
      <c r="V38" t="inlineStr">
        <is>
          <t>tipo_muestra_informe_superficial_pero_es_pozo</t>
        </is>
      </c>
    </row>
    <row r="39">
      <c r="A39" t="inlineStr">
        <is>
          <t>Leticia</t>
        </is>
      </c>
      <c r="B39" t="inlineStr">
        <is>
          <t>UN-LE-026</t>
        </is>
      </c>
      <c r="C39" t="inlineStr">
        <is>
          <t>Agua cruda, superficial, pozo, residencia profesor</t>
        </is>
      </c>
      <c r="D39" t="inlineStr">
        <is>
          <t>POZO_PROFE</t>
        </is>
      </c>
      <c r="E39" t="inlineStr">
        <is>
          <t>subterránea (pozo)</t>
        </is>
      </c>
      <c r="F39" t="inlineStr">
        <is>
          <t>2026-06-18</t>
        </is>
      </c>
      <c r="G39" t="inlineStr">
        <is>
          <t>2026-06-18</t>
        </is>
      </c>
      <c r="H39" t="inlineStr">
        <is>
          <t>2026-06</t>
        </is>
      </c>
      <c r="I39" t="inlineStr">
        <is>
          <t>manganeso</t>
        </is>
      </c>
      <c r="J39" t="inlineStr">
        <is>
          <t>Manganeso</t>
        </is>
      </c>
      <c r="K39" t="n">
        <v>0.05</v>
      </c>
      <c r="L39" t="inlineStr">
        <is>
          <t>&lt;</t>
        </is>
      </c>
      <c r="M39" t="n">
        <v>0.05</v>
      </c>
      <c r="N39" t="inlineStr">
        <is>
          <t>&lt;0,05</t>
        </is>
      </c>
      <c r="O39" t="inlineStr">
        <is>
          <t>mg/L Mn +7</t>
        </is>
      </c>
      <c r="P39" t="inlineStr">
        <is>
          <t>Mn total</t>
        </is>
      </c>
      <c r="Q39" t="inlineStr">
        <is>
          <t>SM 3111 B</t>
        </is>
      </c>
      <c r="R39" t="inlineStr">
        <is>
          <t>2026-07-03</t>
        </is>
      </c>
      <c r="S39" t="inlineStr">
        <is>
          <t>Laboratorio de Ingeniería Ambiental, Facultad de Ingeniería, UNAL Bogotá (LIA)</t>
        </is>
      </c>
      <c r="T39" t="inlineStr">
        <is>
          <t>39916</t>
        </is>
      </c>
      <c r="U39" t="inlineStr">
        <is>
          <t>PDF ANALISIS_39916.pdf (informe original)</t>
        </is>
      </c>
      <c r="V39" t="inlineStr">
        <is>
          <t>tipo_muestra_informe_superficial_pero_es_pozo</t>
        </is>
      </c>
    </row>
    <row r="40">
      <c r="A40" t="inlineStr">
        <is>
          <t>Leticia</t>
        </is>
      </c>
      <c r="B40" t="inlineStr">
        <is>
          <t>UN-LE-026</t>
        </is>
      </c>
      <c r="C40" t="inlineStr">
        <is>
          <t>Agua cruda, superficial, pozo, residencia profesor</t>
        </is>
      </c>
      <c r="D40" t="inlineStr">
        <is>
          <t>POZO_PROFE</t>
        </is>
      </c>
      <c r="E40" t="inlineStr">
        <is>
          <t>subterránea (pozo)</t>
        </is>
      </c>
      <c r="F40" t="inlineStr">
        <is>
          <t>2026-06-18</t>
        </is>
      </c>
      <c r="G40" t="inlineStr">
        <is>
          <t>2026-06-18</t>
        </is>
      </c>
      <c r="H40" t="inlineStr">
        <is>
          <t>2026-06</t>
        </is>
      </c>
      <c r="I40" t="inlineStr">
        <is>
          <t>cot</t>
        </is>
      </c>
      <c r="J40" t="inlineStr">
        <is>
          <t>Carbono Orgánico Total</t>
        </is>
      </c>
      <c r="K40" t="n">
        <v>1</v>
      </c>
      <c r="L40" t="inlineStr">
        <is>
          <t>&lt;</t>
        </is>
      </c>
      <c r="M40" t="n">
        <v>1</v>
      </c>
      <c r="N40" t="inlineStr">
        <is>
          <t>&lt;1,0</t>
        </is>
      </c>
      <c r="O40" t="inlineStr">
        <is>
          <t>mg/L C</t>
        </is>
      </c>
      <c r="P40" t="inlineStr">
        <is>
          <t>C</t>
        </is>
      </c>
      <c r="Q40" t="inlineStr">
        <is>
          <t>SM 5310 B</t>
        </is>
      </c>
      <c r="R40" t="inlineStr">
        <is>
          <t>2026-07-08</t>
        </is>
      </c>
      <c r="S40" t="inlineStr">
        <is>
          <t>Laboratorio de Ingeniería Ambiental, Facultad de Ingeniería, UNAL Bogotá (LIA)</t>
        </is>
      </c>
      <c r="T40" t="inlineStr">
        <is>
          <t>39916</t>
        </is>
      </c>
      <c r="U40" t="inlineStr">
        <is>
          <t>PDF ANALISIS_39916.pdf (informe original)</t>
        </is>
      </c>
      <c r="V40" t="inlineStr">
        <is>
          <t>tipo_muestra_informe_superficial_pero_es_pozo</t>
        </is>
      </c>
    </row>
    <row r="41">
      <c r="A41" t="inlineStr">
        <is>
          <t>Leticia</t>
        </is>
      </c>
      <c r="B41" t="inlineStr">
        <is>
          <t>UN-LE-026</t>
        </is>
      </c>
      <c r="C41" t="inlineStr">
        <is>
          <t>Agua cruda, superficial, pozo, residencia profesor</t>
        </is>
      </c>
      <c r="D41" t="inlineStr">
        <is>
          <t>POZO_PROFE</t>
        </is>
      </c>
      <c r="E41" t="inlineStr">
        <is>
          <t>subterránea (pozo)</t>
        </is>
      </c>
      <c r="F41" t="inlineStr">
        <is>
          <t>2026-06-18</t>
        </is>
      </c>
      <c r="G41" t="inlineStr">
        <is>
          <t>2026-06-18</t>
        </is>
      </c>
      <c r="H41" t="inlineStr">
        <is>
          <t>2026-06</t>
        </is>
      </c>
      <c r="I41" t="inlineStr">
        <is>
          <t>zinc</t>
        </is>
      </c>
      <c r="J41" t="inlineStr">
        <is>
          <t>Zinc</t>
        </is>
      </c>
      <c r="K41" t="n">
        <v>0.05</v>
      </c>
      <c r="L41" t="inlineStr">
        <is>
          <t>&lt;</t>
        </is>
      </c>
      <c r="M41" t="n">
        <v>0.05</v>
      </c>
      <c r="N41" t="inlineStr">
        <is>
          <t>&lt;0,05</t>
        </is>
      </c>
      <c r="O41" t="inlineStr">
        <is>
          <t>mg/L Zn</t>
        </is>
      </c>
      <c r="P41" t="inlineStr">
        <is>
          <t>Zn</t>
        </is>
      </c>
      <c r="Q41" t="inlineStr">
        <is>
          <t>SM 3111 B</t>
        </is>
      </c>
      <c r="R41" t="inlineStr">
        <is>
          <t>2026-07-06</t>
        </is>
      </c>
      <c r="S41" t="inlineStr">
        <is>
          <t>Laboratorio de Ingeniería Ambiental, Facultad de Ingeniería, UNAL Bogotá (LIA)</t>
        </is>
      </c>
      <c r="T41" t="inlineStr">
        <is>
          <t>39916</t>
        </is>
      </c>
      <c r="U41" t="inlineStr">
        <is>
          <t>PDF ANALISIS_39916.pdf (informe original)</t>
        </is>
      </c>
      <c r="V41" t="inlineStr">
        <is>
          <t>tipo_muestra_informe_superficial_pero_es_pozo</t>
        </is>
      </c>
    </row>
    <row r="42">
      <c r="A42" t="inlineStr">
        <is>
          <t>Leticia</t>
        </is>
      </c>
      <c r="B42" t="inlineStr">
        <is>
          <t>UN-LE-026</t>
        </is>
      </c>
      <c r="C42" t="inlineStr">
        <is>
          <t>Agua cruda, superficial, pozo, residencia profesor</t>
        </is>
      </c>
      <c r="D42" t="inlineStr">
        <is>
          <t>POZO_PROFE</t>
        </is>
      </c>
      <c r="E42" t="inlineStr">
        <is>
          <t>subterránea (pozo)</t>
        </is>
      </c>
      <c r="F42" t="inlineStr">
        <is>
          <t>2026-06-18</t>
        </is>
      </c>
      <c r="G42" t="inlineStr">
        <is>
          <t>2026-06-18</t>
        </is>
      </c>
      <c r="H42" t="inlineStr">
        <is>
          <t>2026-06</t>
        </is>
      </c>
      <c r="I42" t="inlineStr">
        <is>
          <t>fluoruros</t>
        </is>
      </c>
      <c r="J42" t="inlineStr">
        <is>
          <t>Fluoruros</t>
        </is>
      </c>
      <c r="K42" t="n">
        <v>0.02</v>
      </c>
      <c r="L42" t="inlineStr">
        <is>
          <t>&lt;</t>
        </is>
      </c>
      <c r="M42" t="n">
        <v>0.02</v>
      </c>
      <c r="N42" t="inlineStr">
        <is>
          <t>&lt;0,02</t>
        </is>
      </c>
      <c r="O42" t="inlineStr">
        <is>
          <t>mg/L F-</t>
        </is>
      </c>
      <c r="P42" t="inlineStr">
        <is>
          <t>F-</t>
        </is>
      </c>
      <c r="Q42" t="inlineStr">
        <is>
          <t>SM 4110 B</t>
        </is>
      </c>
      <c r="R42" t="inlineStr">
        <is>
          <t>2026-06-23</t>
        </is>
      </c>
      <c r="S42" t="inlineStr">
        <is>
          <t>Laboratorio de Ingeniería Ambiental, Facultad de Ingeniería, UNAL Bogotá (LIA)</t>
        </is>
      </c>
      <c r="T42" t="inlineStr">
        <is>
          <t>39916</t>
        </is>
      </c>
      <c r="U42" t="inlineStr">
        <is>
          <t>PDF ANALISIS_39916.pdf (informe original)</t>
        </is>
      </c>
      <c r="V42" t="inlineStr">
        <is>
          <t>tipo_muestra_informe_superficial_pero_es_pozo</t>
        </is>
      </c>
    </row>
    <row r="43">
      <c r="A43" t="inlineStr">
        <is>
          <t>Leticia</t>
        </is>
      </c>
      <c r="B43" t="inlineStr">
        <is>
          <t>UN-LE-026</t>
        </is>
      </c>
      <c r="C43" t="inlineStr">
        <is>
          <t>Agua cruda, superficial, pozo, residencia profesor</t>
        </is>
      </c>
      <c r="D43" t="inlineStr">
        <is>
          <t>POZO_PROFE</t>
        </is>
      </c>
      <c r="E43" t="inlineStr">
        <is>
          <t>subterránea (pozo)</t>
        </is>
      </c>
      <c r="F43" t="inlineStr">
        <is>
          <t>2026-06-18</t>
        </is>
      </c>
      <c r="G43" t="inlineStr">
        <is>
          <t>2026-06-18</t>
        </is>
      </c>
      <c r="H43" t="inlineStr">
        <is>
          <t>2026-06</t>
        </is>
      </c>
      <c r="I43" t="inlineStr">
        <is>
          <t>nitritos_n</t>
        </is>
      </c>
      <c r="J43" t="inlineStr">
        <is>
          <t>Nitritos</t>
        </is>
      </c>
      <c r="K43" t="n">
        <v>0.1</v>
      </c>
      <c r="L43" t="inlineStr">
        <is>
          <t>&lt;</t>
        </is>
      </c>
      <c r="M43" t="n">
        <v>0.1</v>
      </c>
      <c r="N43" t="inlineStr">
        <is>
          <t>&lt;0,1</t>
        </is>
      </c>
      <c r="O43" t="inlineStr">
        <is>
          <t>mg/L N-NO2-</t>
        </is>
      </c>
      <c r="P43" t="inlineStr">
        <is>
          <t>N (de NO2-)</t>
        </is>
      </c>
      <c r="Q43" t="inlineStr">
        <is>
          <t>SM 4110 B</t>
        </is>
      </c>
      <c r="R43" t="inlineStr">
        <is>
          <t>2026-06-23</t>
        </is>
      </c>
      <c r="S43" t="inlineStr">
        <is>
          <t>Laboratorio de Ingeniería Ambiental, Facultad de Ingeniería, UNAL Bogotá (LIA)</t>
        </is>
      </c>
      <c r="T43" t="inlineStr">
        <is>
          <t>39916</t>
        </is>
      </c>
      <c r="U43" t="inlineStr">
        <is>
          <t>PDF ANALISIS_39916.pdf (informe original)</t>
        </is>
      </c>
      <c r="V43" t="inlineStr">
        <is>
          <t>tipo_muestra_informe_superficial_pero_es_pozo</t>
        </is>
      </c>
    </row>
    <row r="44">
      <c r="A44" t="inlineStr">
        <is>
          <t>Leticia</t>
        </is>
      </c>
      <c r="B44" t="inlineStr">
        <is>
          <t>UN-LE-026</t>
        </is>
      </c>
      <c r="C44" t="inlineStr">
        <is>
          <t>Agua cruda, superficial, pozo, residencia profesor</t>
        </is>
      </c>
      <c r="D44" t="inlineStr">
        <is>
          <t>POZO_PROFE</t>
        </is>
      </c>
      <c r="E44" t="inlineStr">
        <is>
          <t>subterránea (pozo)</t>
        </is>
      </c>
      <c r="F44" t="inlineStr">
        <is>
          <t>2026-06-18</t>
        </is>
      </c>
      <c r="G44" t="inlineStr">
        <is>
          <t>2026-06-18</t>
        </is>
      </c>
      <c r="H44" t="inlineStr">
        <is>
          <t>2026-06</t>
        </is>
      </c>
      <c r="I44" t="inlineStr">
        <is>
          <t>nitratos_n</t>
        </is>
      </c>
      <c r="J44" t="inlineStr">
        <is>
          <t>Nitratos</t>
        </is>
      </c>
      <c r="K44" t="n">
        <v>1.3</v>
      </c>
      <c r="L44" t="inlineStr"/>
      <c r="N44" t="inlineStr">
        <is>
          <t>1,3</t>
        </is>
      </c>
      <c r="O44" t="inlineStr">
        <is>
          <t>mg/L N-NO3-</t>
        </is>
      </c>
      <c r="P44" t="inlineStr">
        <is>
          <t>N (de NO3-)</t>
        </is>
      </c>
      <c r="Q44" t="inlineStr">
        <is>
          <t>SM 4110 B</t>
        </is>
      </c>
      <c r="R44" t="inlineStr">
        <is>
          <t>2026-06-23</t>
        </is>
      </c>
      <c r="S44" t="inlineStr">
        <is>
          <t>Laboratorio de Ingeniería Ambiental, Facultad de Ingeniería, UNAL Bogotá (LIA)</t>
        </is>
      </c>
      <c r="T44" t="inlineStr">
        <is>
          <t>39916</t>
        </is>
      </c>
      <c r="U44" t="inlineStr">
        <is>
          <t>PDF ANALISIS_39916.pdf (informe original)</t>
        </is>
      </c>
      <c r="V44" t="inlineStr">
        <is>
          <t>tipo_muestra_informe_superficial_pero_es_pozo</t>
        </is>
      </c>
    </row>
    <row r="45">
      <c r="A45" t="inlineStr">
        <is>
          <t>Leticia</t>
        </is>
      </c>
      <c r="B45" t="inlineStr">
        <is>
          <t>UN-LE-026</t>
        </is>
      </c>
      <c r="C45" t="inlineStr">
        <is>
          <t>Agua cruda, superficial, pozo, residencia profesor</t>
        </is>
      </c>
      <c r="D45" t="inlineStr">
        <is>
          <t>POZO_PROFE</t>
        </is>
      </c>
      <c r="E45" t="inlineStr">
        <is>
          <t>subterránea (pozo)</t>
        </is>
      </c>
      <c r="F45" t="inlineStr">
        <is>
          <t>2026-06-18</t>
        </is>
      </c>
      <c r="G45" t="inlineStr">
        <is>
          <t>2026-06-18</t>
        </is>
      </c>
      <c r="H45" t="inlineStr">
        <is>
          <t>2026-06</t>
        </is>
      </c>
      <c r="I45" t="inlineStr">
        <is>
          <t>cloruros</t>
        </is>
      </c>
      <c r="J45" t="inlineStr">
        <is>
          <t>Cloruros</t>
        </is>
      </c>
      <c r="K45" t="n">
        <v>0.7</v>
      </c>
      <c r="L45" t="inlineStr"/>
      <c r="N45" t="inlineStr">
        <is>
          <t>0,7</t>
        </is>
      </c>
      <c r="O45" t="inlineStr">
        <is>
          <t>mg/L Cl-</t>
        </is>
      </c>
      <c r="P45" t="inlineStr">
        <is>
          <t>Cl-</t>
        </is>
      </c>
      <c r="Q45" t="inlineStr">
        <is>
          <t>SM 4110 B</t>
        </is>
      </c>
      <c r="R45" t="inlineStr">
        <is>
          <t>2026-06-23</t>
        </is>
      </c>
      <c r="S45" t="inlineStr">
        <is>
          <t>Laboratorio de Ingeniería Ambiental, Facultad de Ingeniería, UNAL Bogotá (LIA)</t>
        </is>
      </c>
      <c r="T45" t="inlineStr">
        <is>
          <t>39916</t>
        </is>
      </c>
      <c r="U45" t="inlineStr">
        <is>
          <t>PDF ANALISIS_39916.pdf (informe original)</t>
        </is>
      </c>
      <c r="V45" t="inlineStr">
        <is>
          <t>tipo_muestra_informe_superficial_pero_es_pozo</t>
        </is>
      </c>
    </row>
    <row r="46">
      <c r="A46" t="inlineStr">
        <is>
          <t>Leticia</t>
        </is>
      </c>
      <c r="B46" t="inlineStr">
        <is>
          <t>UN-LE-026</t>
        </is>
      </c>
      <c r="C46" t="inlineStr">
        <is>
          <t>Agua cruda, superficial, pozo, residencia profesor</t>
        </is>
      </c>
      <c r="D46" t="inlineStr">
        <is>
          <t>POZO_PROFE</t>
        </is>
      </c>
      <c r="E46" t="inlineStr">
        <is>
          <t>subterránea (pozo)</t>
        </is>
      </c>
      <c r="F46" t="inlineStr">
        <is>
          <t>2026-06-18</t>
        </is>
      </c>
      <c r="G46" t="inlineStr">
        <is>
          <t>2026-06-18</t>
        </is>
      </c>
      <c r="H46" t="inlineStr">
        <is>
          <t>2026-06</t>
        </is>
      </c>
      <c r="I46" t="inlineStr">
        <is>
          <t>sulfatos</t>
        </is>
      </c>
      <c r="J46" t="inlineStr">
        <is>
          <t>Sulfatos</t>
        </is>
      </c>
      <c r="K46" t="n">
        <v>0.2</v>
      </c>
      <c r="L46" t="inlineStr"/>
      <c r="N46" t="inlineStr">
        <is>
          <t>0,2</t>
        </is>
      </c>
      <c r="O46" t="inlineStr">
        <is>
          <t>mg/L SO4=</t>
        </is>
      </c>
      <c r="P46" t="inlineStr">
        <is>
          <t>SO4 2-</t>
        </is>
      </c>
      <c r="Q46" t="inlineStr">
        <is>
          <t>SM 4110 B</t>
        </is>
      </c>
      <c r="R46" t="inlineStr">
        <is>
          <t>2026-06-23</t>
        </is>
      </c>
      <c r="S46" t="inlineStr">
        <is>
          <t>Laboratorio de Ingeniería Ambiental, Facultad de Ingeniería, UNAL Bogotá (LIA)</t>
        </is>
      </c>
      <c r="T46" t="inlineStr">
        <is>
          <t>39916</t>
        </is>
      </c>
      <c r="U46" t="inlineStr">
        <is>
          <t>PDF ANALISIS_39916.pdf (informe original)</t>
        </is>
      </c>
      <c r="V46" t="inlineStr">
        <is>
          <t>tipo_muestra_informe_superficial_pero_es_pozo</t>
        </is>
      </c>
    </row>
    <row r="47">
      <c r="A47" t="inlineStr">
        <is>
          <t>Leticia</t>
        </is>
      </c>
      <c r="B47" t="inlineStr">
        <is>
          <t>UN-LE-026</t>
        </is>
      </c>
      <c r="C47" t="inlineStr">
        <is>
          <t>Agua cruda, superficial, pozo, residencia profesor</t>
        </is>
      </c>
      <c r="D47" t="inlineStr">
        <is>
          <t>POZO_PROFE</t>
        </is>
      </c>
      <c r="E47" t="inlineStr">
        <is>
          <t>subterránea (pozo)</t>
        </is>
      </c>
      <c r="F47" t="inlineStr">
        <is>
          <t>2026-06-18</t>
        </is>
      </c>
      <c r="G47" t="inlineStr">
        <is>
          <t>2026-06-18</t>
        </is>
      </c>
      <c r="H47" t="inlineStr">
        <is>
          <t>2026-06</t>
        </is>
      </c>
      <c r="I47" t="inlineStr">
        <is>
          <t>ortofosfatos</t>
        </is>
      </c>
      <c r="J47" t="inlineStr">
        <is>
          <t>Ortofosfatos</t>
        </is>
      </c>
      <c r="K47" t="n">
        <v>0.2</v>
      </c>
      <c r="L47" t="inlineStr">
        <is>
          <t>&lt;</t>
        </is>
      </c>
      <c r="M47" t="n">
        <v>0.2</v>
      </c>
      <c r="N47" t="inlineStr">
        <is>
          <t>&lt;0,2</t>
        </is>
      </c>
      <c r="O47" t="inlineStr">
        <is>
          <t>mg/L PO4-3</t>
        </is>
      </c>
      <c r="P47" t="inlineStr">
        <is>
          <t>PO4 3-</t>
        </is>
      </c>
      <c r="Q47" t="inlineStr">
        <is>
          <t>SM 4110 B</t>
        </is>
      </c>
      <c r="R47" t="inlineStr">
        <is>
          <t>2026-06-23</t>
        </is>
      </c>
      <c r="S47" t="inlineStr">
        <is>
          <t>Laboratorio de Ingeniería Ambiental, Facultad de Ingeniería, UNAL Bogotá (LIA)</t>
        </is>
      </c>
      <c r="T47" t="inlineStr">
        <is>
          <t>39916</t>
        </is>
      </c>
      <c r="U47" t="inlineStr">
        <is>
          <t>PDF ANALISIS_39916.pdf (informe original)</t>
        </is>
      </c>
      <c r="V47" t="inlineStr">
        <is>
          <t>tipo_muestra_informe_superficial_pero_es_pozo</t>
        </is>
      </c>
    </row>
    <row r="48">
      <c r="A48" t="inlineStr">
        <is>
          <t>Leticia</t>
        </is>
      </c>
      <c r="B48" t="inlineStr">
        <is>
          <t>UN-LE-026</t>
        </is>
      </c>
      <c r="C48" t="inlineStr">
        <is>
          <t>Agua cruda, superficial, pozo, residencia profesor</t>
        </is>
      </c>
      <c r="D48" t="inlineStr">
        <is>
          <t>POZO_PROFE</t>
        </is>
      </c>
      <c r="E48" t="inlineStr">
        <is>
          <t>subterránea (pozo)</t>
        </is>
      </c>
      <c r="F48" t="inlineStr">
        <is>
          <t>2026-06-18</t>
        </is>
      </c>
      <c r="G48" t="inlineStr">
        <is>
          <t>2026-06-18</t>
        </is>
      </c>
      <c r="H48" t="inlineStr">
        <is>
          <t>2026-06</t>
        </is>
      </c>
      <c r="I48" t="inlineStr">
        <is>
          <t>solidos_totales</t>
        </is>
      </c>
      <c r="J48" t="inlineStr">
        <is>
          <t>Sólidos Totales</t>
        </is>
      </c>
      <c r="K48" t="n">
        <v>15</v>
      </c>
      <c r="L48" t="inlineStr"/>
      <c r="N48" t="inlineStr">
        <is>
          <t>15</t>
        </is>
      </c>
      <c r="O48" t="inlineStr">
        <is>
          <t>mg/L</t>
        </is>
      </c>
      <c r="P48" t="inlineStr">
        <is>
          <t>residuo a 103–105 °C</t>
        </is>
      </c>
      <c r="Q48" t="inlineStr">
        <is>
          <t>SM 2540 B</t>
        </is>
      </c>
      <c r="R48" t="inlineStr">
        <is>
          <t>2026-06-23</t>
        </is>
      </c>
      <c r="S48" t="inlineStr">
        <is>
          <t>Laboratorio de Ingeniería Ambiental, Facultad de Ingeniería, UNAL Bogotá (LIA)</t>
        </is>
      </c>
      <c r="T48" t="inlineStr">
        <is>
          <t>39916</t>
        </is>
      </c>
      <c r="U48" t="inlineStr">
        <is>
          <t>PDF ANALISIS_39916.pdf (informe original)</t>
        </is>
      </c>
      <c r="V48" t="inlineStr">
        <is>
          <t>tipo_muestra_informe_superficial_pero_es_pozo</t>
        </is>
      </c>
    </row>
    <row r="49">
      <c r="A49" t="inlineStr">
        <is>
          <t>Leticia</t>
        </is>
      </c>
      <c r="B49" t="inlineStr">
        <is>
          <t>UN-LE-026</t>
        </is>
      </c>
      <c r="C49" t="inlineStr">
        <is>
          <t>Agua cruda, superficial, pozo, residencia profesor</t>
        </is>
      </c>
      <c r="D49" t="inlineStr">
        <is>
          <t>POZO_PROFE</t>
        </is>
      </c>
      <c r="E49" t="inlineStr">
        <is>
          <t>subterránea (pozo)</t>
        </is>
      </c>
      <c r="F49" t="inlineStr">
        <is>
          <t>2026-06-18</t>
        </is>
      </c>
      <c r="G49" t="inlineStr">
        <is>
          <t>2026-06-18</t>
        </is>
      </c>
      <c r="H49" t="inlineStr">
        <is>
          <t>2026-06</t>
        </is>
      </c>
      <c r="I49" t="inlineStr">
        <is>
          <t>sst</t>
        </is>
      </c>
      <c r="J49" t="inlineStr">
        <is>
          <t>Sólidos Suspendidos Totales</t>
        </is>
      </c>
      <c r="K49" t="n">
        <v>5</v>
      </c>
      <c r="L49" t="inlineStr">
        <is>
          <t>&lt;</t>
        </is>
      </c>
      <c r="M49" t="n">
        <v>5</v>
      </c>
      <c r="N49" t="inlineStr">
        <is>
          <t>&lt;5</t>
        </is>
      </c>
      <c r="O49" t="inlineStr">
        <is>
          <t>mg/L</t>
        </is>
      </c>
      <c r="P49" t="inlineStr">
        <is>
          <t>retenidos en filtro</t>
        </is>
      </c>
      <c r="Q49" t="inlineStr">
        <is>
          <t>SM 2540 D</t>
        </is>
      </c>
      <c r="R49" t="inlineStr">
        <is>
          <t>2026-06-24</t>
        </is>
      </c>
      <c r="S49" t="inlineStr">
        <is>
          <t>Laboratorio de Ingeniería Ambiental, Facultad de Ingeniería, UNAL Bogotá (LIA)</t>
        </is>
      </c>
      <c r="T49" t="inlineStr">
        <is>
          <t>39916</t>
        </is>
      </c>
      <c r="U49" t="inlineStr">
        <is>
          <t>PDF ANALISIS_39916.pdf (informe original)</t>
        </is>
      </c>
      <c r="V49" t="inlineStr">
        <is>
          <t>tipo_muestra_informe_superficial_pero_es_pozo</t>
        </is>
      </c>
    </row>
    <row r="50">
      <c r="A50" t="inlineStr">
        <is>
          <t>Leticia</t>
        </is>
      </c>
      <c r="B50" t="inlineStr">
        <is>
          <t>UN-LE-026</t>
        </is>
      </c>
      <c r="C50" t="inlineStr">
        <is>
          <t>Agua cruda, superficial, pozo, residencia profesor</t>
        </is>
      </c>
      <c r="D50" t="inlineStr">
        <is>
          <t>POZO_PROFE</t>
        </is>
      </c>
      <c r="E50" t="inlineStr">
        <is>
          <t>subterránea (pozo)</t>
        </is>
      </c>
      <c r="F50" t="inlineStr">
        <is>
          <t>2026-06-18</t>
        </is>
      </c>
      <c r="G50" t="inlineStr">
        <is>
          <t>2026-06-18</t>
        </is>
      </c>
      <c r="H50" t="inlineStr">
        <is>
          <t>2026-06</t>
        </is>
      </c>
      <c r="I50" t="inlineStr">
        <is>
          <t>coliformes_totales</t>
        </is>
      </c>
      <c r="J50" t="inlineStr">
        <is>
          <t>Coliformes totales</t>
        </is>
      </c>
      <c r="K50" t="n">
        <v>170</v>
      </c>
      <c r="L50" t="inlineStr"/>
      <c r="N50" t="inlineStr">
        <is>
          <t>170</t>
        </is>
      </c>
      <c r="O50" t="inlineStr">
        <is>
          <t>NMP/100 mL</t>
        </is>
      </c>
      <c r="P50" t="inlineStr">
        <is>
          <t>NMP</t>
        </is>
      </c>
      <c r="Q50" t="inlineStr">
        <is>
          <t>SM 9221 C</t>
        </is>
      </c>
      <c r="R50" t="inlineStr">
        <is>
          <t>2026-06-22</t>
        </is>
      </c>
      <c r="S50" t="inlineStr">
        <is>
          <t>Laboratorio de Ingeniería Ambiental, Facultad de Ingeniería, UNAL Bogotá (LIA)</t>
        </is>
      </c>
      <c r="T50" t="inlineStr">
        <is>
          <t>39916</t>
        </is>
      </c>
      <c r="U50" t="inlineStr">
        <is>
          <t>PDF ANALISIS_39916.pdf (informe original)</t>
        </is>
      </c>
      <c r="V50" t="inlineStr">
        <is>
          <t>tipo_muestra_informe_superficial_pero_es_pozo</t>
        </is>
      </c>
    </row>
    <row r="51">
      <c r="A51" t="inlineStr">
        <is>
          <t>Leticia</t>
        </is>
      </c>
      <c r="B51" t="inlineStr">
        <is>
          <t>UN-LE-026</t>
        </is>
      </c>
      <c r="C51" t="inlineStr">
        <is>
          <t>Agua cruda, superficial, pozo, residencia profesor</t>
        </is>
      </c>
      <c r="D51" t="inlineStr">
        <is>
          <t>POZO_PROFE</t>
        </is>
      </c>
      <c r="E51" t="inlineStr">
        <is>
          <t>subterránea (pozo)</t>
        </is>
      </c>
      <c r="F51" t="inlineStr">
        <is>
          <t>2026-06-18</t>
        </is>
      </c>
      <c r="G51" t="inlineStr">
        <is>
          <t>2026-06-18</t>
        </is>
      </c>
      <c r="H51" t="inlineStr">
        <is>
          <t>2026-06</t>
        </is>
      </c>
      <c r="I51" t="inlineStr">
        <is>
          <t>e_coli</t>
        </is>
      </c>
      <c r="J51" t="inlineStr">
        <is>
          <t>E. coli</t>
        </is>
      </c>
      <c r="K51" t="n">
        <v>40</v>
      </c>
      <c r="L51" t="inlineStr"/>
      <c r="N51" t="inlineStr">
        <is>
          <t>40</t>
        </is>
      </c>
      <c r="O51" t="inlineStr">
        <is>
          <t>NMP/100 mL</t>
        </is>
      </c>
      <c r="P51" t="inlineStr">
        <is>
          <t>NMP</t>
        </is>
      </c>
      <c r="Q51" t="inlineStr">
        <is>
          <t>SM 9221 C</t>
        </is>
      </c>
      <c r="R51" t="inlineStr">
        <is>
          <t>2026-06-22</t>
        </is>
      </c>
      <c r="S51" t="inlineStr">
        <is>
          <t>Laboratorio de Ingeniería Ambiental, Facultad de Ingeniería, UNAL Bogotá (LIA)</t>
        </is>
      </c>
      <c r="T51" t="inlineStr">
        <is>
          <t>39916</t>
        </is>
      </c>
      <c r="U51" t="inlineStr">
        <is>
          <t>PDF ANALISIS_39916.pdf (informe original)</t>
        </is>
      </c>
      <c r="V51" t="inlineStr">
        <is>
          <t>tipo_muestra_informe_superficial_pero_es_pozo</t>
        </is>
      </c>
    </row>
    <row r="52">
      <c r="A52" t="inlineStr">
        <is>
          <t>Leticia</t>
        </is>
      </c>
      <c r="B52" t="inlineStr">
        <is>
          <t>UN-LE-027</t>
        </is>
      </c>
      <c r="C52" t="inlineStr">
        <is>
          <t>Agua cruda, superficial, pozo NUMAE</t>
        </is>
      </c>
      <c r="D52" t="inlineStr">
        <is>
          <t>POZO_NUMAE</t>
        </is>
      </c>
      <c r="E52" t="inlineStr">
        <is>
          <t>subterránea (pozo)</t>
        </is>
      </c>
      <c r="F52" t="inlineStr">
        <is>
          <t>2026-06-18</t>
        </is>
      </c>
      <c r="G52" t="inlineStr">
        <is>
          <t>2026-06-18</t>
        </is>
      </c>
      <c r="H52" t="inlineStr">
        <is>
          <t>2026-06</t>
        </is>
      </c>
      <c r="I52" t="inlineStr">
        <is>
          <t>turbiedad</t>
        </is>
      </c>
      <c r="J52" t="inlineStr">
        <is>
          <t>Turbiedad</t>
        </is>
      </c>
      <c r="K52" t="n">
        <v>0.6899999999999999</v>
      </c>
      <c r="L52" t="inlineStr"/>
      <c r="N52" t="inlineStr">
        <is>
          <t>0,69</t>
        </is>
      </c>
      <c r="O52" t="inlineStr">
        <is>
          <t>UNT</t>
        </is>
      </c>
      <c r="P52" t="inlineStr">
        <is>
          <t>turbiedad nefelométrica</t>
        </is>
      </c>
      <c r="Q52" t="inlineStr">
        <is>
          <t>SM 2130 B</t>
        </is>
      </c>
      <c r="R52" t="inlineStr">
        <is>
          <t>2026-06-22</t>
        </is>
      </c>
      <c r="S52" t="inlineStr">
        <is>
          <t>Laboratorio de Ingeniería Ambiental, Facultad de Ingeniería, UNAL Bogotá (LIA)</t>
        </is>
      </c>
      <c r="T52" t="inlineStr">
        <is>
          <t>39917</t>
        </is>
      </c>
      <c r="U52" t="inlineStr">
        <is>
          <t>PDF ANALISIS_39917.pdf (informe original)</t>
        </is>
      </c>
      <c r="V52" t="inlineStr">
        <is>
          <t>tipo_muestra_informe_superficial_pero_es_pozo</t>
        </is>
      </c>
    </row>
    <row r="53">
      <c r="A53" t="inlineStr">
        <is>
          <t>Leticia</t>
        </is>
      </c>
      <c r="B53" t="inlineStr">
        <is>
          <t>UN-LE-027</t>
        </is>
      </c>
      <c r="C53" t="inlineStr">
        <is>
          <t>Agua cruda, superficial, pozo NUMAE</t>
        </is>
      </c>
      <c r="D53" t="inlineStr">
        <is>
          <t>POZO_NUMAE</t>
        </is>
      </c>
      <c r="E53" t="inlineStr">
        <is>
          <t>subterránea (pozo)</t>
        </is>
      </c>
      <c r="F53" t="inlineStr">
        <is>
          <t>2026-06-18</t>
        </is>
      </c>
      <c r="G53" t="inlineStr">
        <is>
          <t>2026-06-18</t>
        </is>
      </c>
      <c r="H53" t="inlineStr">
        <is>
          <t>2026-06</t>
        </is>
      </c>
      <c r="I53" t="inlineStr">
        <is>
          <t>color_aparente</t>
        </is>
      </c>
      <c r="J53" t="inlineStr">
        <is>
          <t>Color Aparente</t>
        </is>
      </c>
      <c r="K53" t="n">
        <v>7</v>
      </c>
      <c r="L53" t="inlineStr"/>
      <c r="N53" t="inlineStr">
        <is>
          <t>7</t>
        </is>
      </c>
      <c r="O53" t="inlineStr">
        <is>
          <t>UPC</t>
        </is>
      </c>
      <c r="P53" t="inlineStr">
        <is>
          <t>Pt-Co, sin filtrar</t>
        </is>
      </c>
      <c r="Q53" t="inlineStr">
        <is>
          <t>SM 2120 B</t>
        </is>
      </c>
      <c r="R53" t="inlineStr">
        <is>
          <t>2026-06-22</t>
        </is>
      </c>
      <c r="S53" t="inlineStr">
        <is>
          <t>Laboratorio de Ingeniería Ambiental, Facultad de Ingeniería, UNAL Bogotá (LIA)</t>
        </is>
      </c>
      <c r="T53" t="inlineStr">
        <is>
          <t>39917</t>
        </is>
      </c>
      <c r="U53" t="inlineStr">
        <is>
          <t>PDF ANALISIS_39917.pdf (informe original)</t>
        </is>
      </c>
      <c r="V53" t="inlineStr">
        <is>
          <t>tipo_muestra_informe_superficial_pero_es_pozo</t>
        </is>
      </c>
    </row>
    <row r="54">
      <c r="A54" t="inlineStr">
        <is>
          <t>Leticia</t>
        </is>
      </c>
      <c r="B54" t="inlineStr">
        <is>
          <t>UN-LE-027</t>
        </is>
      </c>
      <c r="C54" t="inlineStr">
        <is>
          <t>Agua cruda, superficial, pozo NUMAE</t>
        </is>
      </c>
      <c r="D54" t="inlineStr">
        <is>
          <t>POZO_NUMAE</t>
        </is>
      </c>
      <c r="E54" t="inlineStr">
        <is>
          <t>subterránea (pozo)</t>
        </is>
      </c>
      <c r="F54" t="inlineStr">
        <is>
          <t>2026-06-18</t>
        </is>
      </c>
      <c r="G54" t="inlineStr">
        <is>
          <t>2026-06-18</t>
        </is>
      </c>
      <c r="H54" t="inlineStr">
        <is>
          <t>2026-06</t>
        </is>
      </c>
      <c r="I54" t="inlineStr">
        <is>
          <t>ph</t>
        </is>
      </c>
      <c r="J54" t="inlineStr">
        <is>
          <t>pH</t>
        </is>
      </c>
      <c r="K54" t="n">
        <v>5.31</v>
      </c>
      <c r="L54" t="inlineStr"/>
      <c r="N54" t="inlineStr">
        <is>
          <t>5,31</t>
        </is>
      </c>
      <c r="O54" t="inlineStr">
        <is>
          <t>Unidades</t>
        </is>
      </c>
      <c r="P54" t="inlineStr">
        <is>
          <t>pH</t>
        </is>
      </c>
      <c r="Q54" t="inlineStr">
        <is>
          <t>SM 4500 H+B</t>
        </is>
      </c>
      <c r="R54" t="inlineStr">
        <is>
          <t>2026-06-22</t>
        </is>
      </c>
      <c r="S54" t="inlineStr">
        <is>
          <t>Laboratorio de Ingeniería Ambiental, Facultad de Ingeniería, UNAL Bogotá (LIA)</t>
        </is>
      </c>
      <c r="T54" t="inlineStr">
        <is>
          <t>39917</t>
        </is>
      </c>
      <c r="U54" t="inlineStr">
        <is>
          <t>PDF ANALISIS_39917.pdf (informe original)</t>
        </is>
      </c>
      <c r="V54" t="inlineStr">
        <is>
          <t>tipo_muestra_informe_superficial_pero_es_pozo</t>
        </is>
      </c>
    </row>
    <row r="55">
      <c r="A55" t="inlineStr">
        <is>
          <t>Leticia</t>
        </is>
      </c>
      <c r="B55" t="inlineStr">
        <is>
          <t>UN-LE-027</t>
        </is>
      </c>
      <c r="C55" t="inlineStr">
        <is>
          <t>Agua cruda, superficial, pozo NUMAE</t>
        </is>
      </c>
      <c r="D55" t="inlineStr">
        <is>
          <t>POZO_NUMAE</t>
        </is>
      </c>
      <c r="E55" t="inlineStr">
        <is>
          <t>subterránea (pozo)</t>
        </is>
      </c>
      <c r="F55" t="inlineStr">
        <is>
          <t>2026-06-18</t>
        </is>
      </c>
      <c r="G55" t="inlineStr">
        <is>
          <t>2026-06-18</t>
        </is>
      </c>
      <c r="H55" t="inlineStr">
        <is>
          <t>2026-06</t>
        </is>
      </c>
      <c r="I55" t="inlineStr">
        <is>
          <t>conductividad</t>
        </is>
      </c>
      <c r="J55" t="inlineStr">
        <is>
          <t>Conductividad Específica</t>
        </is>
      </c>
      <c r="K55" t="n">
        <v>69.3</v>
      </c>
      <c r="L55" t="inlineStr"/>
      <c r="N55" t="inlineStr">
        <is>
          <t>69,3</t>
        </is>
      </c>
      <c r="O55" t="inlineStr">
        <is>
          <t>µS/cm 25 °C</t>
        </is>
      </c>
      <c r="P55" t="inlineStr">
        <is>
          <t>CE a 25 °C</t>
        </is>
      </c>
      <c r="Q55" t="inlineStr">
        <is>
          <t>SM 2510 B</t>
        </is>
      </c>
      <c r="R55" t="inlineStr">
        <is>
          <t>2026-06-22</t>
        </is>
      </c>
      <c r="S55" t="inlineStr">
        <is>
          <t>Laboratorio de Ingeniería Ambiental, Facultad de Ingeniería, UNAL Bogotá (LIA)</t>
        </is>
      </c>
      <c r="T55" t="inlineStr">
        <is>
          <t>39917</t>
        </is>
      </c>
      <c r="U55" t="inlineStr">
        <is>
          <t>PDF ANALISIS_39917.pdf (informe original)</t>
        </is>
      </c>
      <c r="V55" t="inlineStr">
        <is>
          <t>tipo_muestra_informe_superficial_pero_es_pozo</t>
        </is>
      </c>
    </row>
    <row r="56">
      <c r="A56" t="inlineStr">
        <is>
          <t>Leticia</t>
        </is>
      </c>
      <c r="B56" t="inlineStr">
        <is>
          <t>UN-LE-027</t>
        </is>
      </c>
      <c r="C56" t="inlineStr">
        <is>
          <t>Agua cruda, superficial, pozo NUMAE</t>
        </is>
      </c>
      <c r="D56" t="inlineStr">
        <is>
          <t>POZO_NUMAE</t>
        </is>
      </c>
      <c r="E56" t="inlineStr">
        <is>
          <t>subterránea (pozo)</t>
        </is>
      </c>
      <c r="F56" t="inlineStr">
        <is>
          <t>2026-06-18</t>
        </is>
      </c>
      <c r="G56" t="inlineStr">
        <is>
          <t>2026-06-18</t>
        </is>
      </c>
      <c r="H56" t="inlineStr">
        <is>
          <t>2026-06</t>
        </is>
      </c>
      <c r="I56" t="inlineStr">
        <is>
          <t>alcalinidad</t>
        </is>
      </c>
      <c r="J56" t="inlineStr">
        <is>
          <t>Alcalinidad total</t>
        </is>
      </c>
      <c r="K56" t="n">
        <v>5</v>
      </c>
      <c r="L56" t="inlineStr">
        <is>
          <t>&lt;</t>
        </is>
      </c>
      <c r="M56" t="n">
        <v>5</v>
      </c>
      <c r="N56" t="inlineStr">
        <is>
          <t>&lt;5</t>
        </is>
      </c>
      <c r="O56" t="inlineStr">
        <is>
          <t>mg/L CaCO3</t>
        </is>
      </c>
      <c r="P56" t="inlineStr">
        <is>
          <t>CaCO3</t>
        </is>
      </c>
      <c r="Q56" t="inlineStr">
        <is>
          <t>SM 2320 (Indicador)</t>
        </is>
      </c>
      <c r="R56" t="inlineStr">
        <is>
          <t>2026-06-22</t>
        </is>
      </c>
      <c r="S56" t="inlineStr">
        <is>
          <t>Laboratorio de Ingeniería Ambiental, Facultad de Ingeniería, UNAL Bogotá (LIA)</t>
        </is>
      </c>
      <c r="T56" t="inlineStr">
        <is>
          <t>39917</t>
        </is>
      </c>
      <c r="U56" t="inlineStr">
        <is>
          <t>PDF ANALISIS_39917.pdf (informe original)</t>
        </is>
      </c>
      <c r="V56" t="inlineStr">
        <is>
          <t>tipo_muestra_informe_superficial_pero_es_pozo</t>
        </is>
      </c>
    </row>
    <row r="57">
      <c r="A57" t="inlineStr">
        <is>
          <t>Leticia</t>
        </is>
      </c>
      <c r="B57" t="inlineStr">
        <is>
          <t>UN-LE-027</t>
        </is>
      </c>
      <c r="C57" t="inlineStr">
        <is>
          <t>Agua cruda, superficial, pozo NUMAE</t>
        </is>
      </c>
      <c r="D57" t="inlineStr">
        <is>
          <t>POZO_NUMAE</t>
        </is>
      </c>
      <c r="E57" t="inlineStr">
        <is>
          <t>subterránea (pozo)</t>
        </is>
      </c>
      <c r="F57" t="inlineStr">
        <is>
          <t>2026-06-18</t>
        </is>
      </c>
      <c r="G57" t="inlineStr">
        <is>
          <t>2026-06-18</t>
        </is>
      </c>
      <c r="H57" t="inlineStr">
        <is>
          <t>2026-06</t>
        </is>
      </c>
      <c r="I57" t="inlineStr">
        <is>
          <t>acidez</t>
        </is>
      </c>
      <c r="J57" t="inlineStr">
        <is>
          <t>Acidez total</t>
        </is>
      </c>
      <c r="K57" t="n">
        <v>44</v>
      </c>
      <c r="L57" t="inlineStr"/>
      <c r="N57" t="inlineStr">
        <is>
          <t>44</t>
        </is>
      </c>
      <c r="O57" t="inlineStr">
        <is>
          <t>mg/L CaCO3</t>
        </is>
      </c>
      <c r="P57" t="inlineStr">
        <is>
          <t>CaCO3</t>
        </is>
      </c>
      <c r="Q57" t="inlineStr">
        <is>
          <t>SM 2310 B</t>
        </is>
      </c>
      <c r="R57" t="inlineStr">
        <is>
          <t>2026-06-22</t>
        </is>
      </c>
      <c r="S57" t="inlineStr">
        <is>
          <t>Laboratorio de Ingeniería Ambiental, Facultad de Ingeniería, UNAL Bogotá (LIA)</t>
        </is>
      </c>
      <c r="T57" t="inlineStr">
        <is>
          <t>39917</t>
        </is>
      </c>
      <c r="U57" t="inlineStr">
        <is>
          <t>PDF ANALISIS_39917.pdf (informe original)</t>
        </is>
      </c>
      <c r="V57" t="inlineStr">
        <is>
          <t>tipo_muestra_informe_superficial_pero_es_pozo</t>
        </is>
      </c>
    </row>
    <row r="58">
      <c r="A58" t="inlineStr">
        <is>
          <t>Leticia</t>
        </is>
      </c>
      <c r="B58" t="inlineStr">
        <is>
          <t>UN-LE-027</t>
        </is>
      </c>
      <c r="C58" t="inlineStr">
        <is>
          <t>Agua cruda, superficial, pozo NUMAE</t>
        </is>
      </c>
      <c r="D58" t="inlineStr">
        <is>
          <t>POZO_NUMAE</t>
        </is>
      </c>
      <c r="E58" t="inlineStr">
        <is>
          <t>subterránea (pozo)</t>
        </is>
      </c>
      <c r="F58" t="inlineStr">
        <is>
          <t>2026-06-18</t>
        </is>
      </c>
      <c r="G58" t="inlineStr">
        <is>
          <t>2026-06-18</t>
        </is>
      </c>
      <c r="H58" t="inlineStr">
        <is>
          <t>2026-06</t>
        </is>
      </c>
      <c r="I58" t="inlineStr">
        <is>
          <t>dureza_total</t>
        </is>
      </c>
      <c r="J58" t="inlineStr">
        <is>
          <t>Dureza total</t>
        </is>
      </c>
      <c r="K58" t="n">
        <v>7</v>
      </c>
      <c r="L58" t="inlineStr"/>
      <c r="N58" t="inlineStr">
        <is>
          <t>7</t>
        </is>
      </c>
      <c r="O58" t="inlineStr">
        <is>
          <t>mg/L CaCO3</t>
        </is>
      </c>
      <c r="P58" t="inlineStr">
        <is>
          <t>CaCO3</t>
        </is>
      </c>
      <c r="Q58" t="inlineStr">
        <is>
          <t>SM 2340 C</t>
        </is>
      </c>
      <c r="R58" t="inlineStr">
        <is>
          <t>2026-06-23</t>
        </is>
      </c>
      <c r="S58" t="inlineStr">
        <is>
          <t>Laboratorio de Ingeniería Ambiental, Facultad de Ingeniería, UNAL Bogotá (LIA)</t>
        </is>
      </c>
      <c r="T58" t="inlineStr">
        <is>
          <t>39917</t>
        </is>
      </c>
      <c r="U58" t="inlineStr">
        <is>
          <t>PDF ANALISIS_39917.pdf (informe original)</t>
        </is>
      </c>
      <c r="V58" t="inlineStr">
        <is>
          <t>tipo_muestra_informe_superficial_pero_es_pozo</t>
        </is>
      </c>
    </row>
    <row r="59">
      <c r="A59" t="inlineStr">
        <is>
          <t>Leticia</t>
        </is>
      </c>
      <c r="B59" t="inlineStr">
        <is>
          <t>UN-LE-027</t>
        </is>
      </c>
      <c r="C59" t="inlineStr">
        <is>
          <t>Agua cruda, superficial, pozo NUMAE</t>
        </is>
      </c>
      <c r="D59" t="inlineStr">
        <is>
          <t>POZO_NUMAE</t>
        </is>
      </c>
      <c r="E59" t="inlineStr">
        <is>
          <t>subterránea (pozo)</t>
        </is>
      </c>
      <c r="F59" t="inlineStr">
        <is>
          <t>2026-06-18</t>
        </is>
      </c>
      <c r="G59" t="inlineStr">
        <is>
          <t>2026-06-18</t>
        </is>
      </c>
      <c r="H59" t="inlineStr">
        <is>
          <t>2026-06</t>
        </is>
      </c>
      <c r="I59" t="inlineStr">
        <is>
          <t>dureza_calcica</t>
        </is>
      </c>
      <c r="J59" t="inlineStr">
        <is>
          <t>Dureza Cálcica</t>
        </is>
      </c>
      <c r="K59" t="n">
        <v>5</v>
      </c>
      <c r="L59" t="inlineStr">
        <is>
          <t>&lt;</t>
        </is>
      </c>
      <c r="M59" t="n">
        <v>5</v>
      </c>
      <c r="N59" t="inlineStr">
        <is>
          <t>&lt;5</t>
        </is>
      </c>
      <c r="O59" t="inlineStr">
        <is>
          <t>mg/L CaCO3</t>
        </is>
      </c>
      <c r="P59" t="inlineStr">
        <is>
          <t>CaCO3</t>
        </is>
      </c>
      <c r="Q59" t="inlineStr">
        <is>
          <t>SM 3500-Ca,B</t>
        </is>
      </c>
      <c r="R59" t="inlineStr">
        <is>
          <t>2026-06-23</t>
        </is>
      </c>
      <c r="S59" t="inlineStr">
        <is>
          <t>Laboratorio de Ingeniería Ambiental, Facultad de Ingeniería, UNAL Bogotá (LIA)</t>
        </is>
      </c>
      <c r="T59" t="inlineStr">
        <is>
          <t>39917</t>
        </is>
      </c>
      <c r="U59" t="inlineStr">
        <is>
          <t>PDF ANALISIS_39917.pdf (informe original)</t>
        </is>
      </c>
      <c r="V59" t="inlineStr">
        <is>
          <t>tipo_muestra_informe_superficial_pero_es_pozo</t>
        </is>
      </c>
    </row>
    <row r="60">
      <c r="A60" t="inlineStr">
        <is>
          <t>Leticia</t>
        </is>
      </c>
      <c r="B60" t="inlineStr">
        <is>
          <t>UN-LE-027</t>
        </is>
      </c>
      <c r="C60" t="inlineStr">
        <is>
          <t>Agua cruda, superficial, pozo NUMAE</t>
        </is>
      </c>
      <c r="D60" t="inlineStr">
        <is>
          <t>POZO_NUMAE</t>
        </is>
      </c>
      <c r="E60" t="inlineStr">
        <is>
          <t>subterránea (pozo)</t>
        </is>
      </c>
      <c r="F60" t="inlineStr">
        <is>
          <t>2026-06-18</t>
        </is>
      </c>
      <c r="G60" t="inlineStr">
        <is>
          <t>2026-06-18</t>
        </is>
      </c>
      <c r="H60" t="inlineStr">
        <is>
          <t>2026-06</t>
        </is>
      </c>
      <c r="I60" t="inlineStr">
        <is>
          <t>dureza_magnesica</t>
        </is>
      </c>
      <c r="J60" t="inlineStr">
        <is>
          <t>Dureza Magnésica</t>
        </is>
      </c>
      <c r="K60" t="n">
        <v>7</v>
      </c>
      <c r="L60" t="inlineStr"/>
      <c r="N60" t="inlineStr">
        <is>
          <t>7</t>
        </is>
      </c>
      <c r="O60" t="inlineStr">
        <is>
          <t>mg/L CaCO3</t>
        </is>
      </c>
      <c r="P60" t="inlineStr">
        <is>
          <t>CaCO3</t>
        </is>
      </c>
      <c r="Q60" t="inlineStr">
        <is>
          <t>SM 3500-Mg,B</t>
        </is>
      </c>
      <c r="R60" t="inlineStr">
        <is>
          <t>2026-06-23</t>
        </is>
      </c>
      <c r="S60" t="inlineStr">
        <is>
          <t>Laboratorio de Ingeniería Ambiental, Facultad de Ingeniería, UNAL Bogotá (LIA)</t>
        </is>
      </c>
      <c r="T60" t="inlineStr">
        <is>
          <t>39917</t>
        </is>
      </c>
      <c r="U60" t="inlineStr">
        <is>
          <t>PDF ANALISIS_39917.pdf (informe original)</t>
        </is>
      </c>
      <c r="V60" t="inlineStr">
        <is>
          <t>tipo_muestra_informe_superficial_pero_es_pozo</t>
        </is>
      </c>
    </row>
    <row r="61">
      <c r="A61" t="inlineStr">
        <is>
          <t>Leticia</t>
        </is>
      </c>
      <c r="B61" t="inlineStr">
        <is>
          <t>UN-LE-027</t>
        </is>
      </c>
      <c r="C61" t="inlineStr">
        <is>
          <t>Agua cruda, superficial, pozo NUMAE</t>
        </is>
      </c>
      <c r="D61" t="inlineStr">
        <is>
          <t>POZO_NUMAE</t>
        </is>
      </c>
      <c r="E61" t="inlineStr">
        <is>
          <t>subterránea (pozo)</t>
        </is>
      </c>
      <c r="F61" t="inlineStr">
        <is>
          <t>2026-06-18</t>
        </is>
      </c>
      <c r="G61" t="inlineStr">
        <is>
          <t>2026-06-18</t>
        </is>
      </c>
      <c r="H61" t="inlineStr">
        <is>
          <t>2026-06</t>
        </is>
      </c>
      <c r="I61" t="inlineStr">
        <is>
          <t>calcio</t>
        </is>
      </c>
      <c r="J61" t="inlineStr">
        <is>
          <t>Calcio por titulación</t>
        </is>
      </c>
      <c r="K61" t="n">
        <v>0</v>
      </c>
      <c r="L61" t="inlineStr"/>
      <c r="N61" t="inlineStr">
        <is>
          <t>0</t>
        </is>
      </c>
      <c r="O61" t="inlineStr">
        <is>
          <t>mg/L Ca</t>
        </is>
      </c>
      <c r="P61" t="inlineStr">
        <is>
          <t>Ca</t>
        </is>
      </c>
      <c r="Q61" t="inlineStr">
        <is>
          <t>SM 3500-Ca,B</t>
        </is>
      </c>
      <c r="R61" t="inlineStr">
        <is>
          <t>2026-06-23</t>
        </is>
      </c>
      <c r="S61" t="inlineStr">
        <is>
          <t>Laboratorio de Ingeniería Ambiental, Facultad de Ingeniería, UNAL Bogotá (LIA)</t>
        </is>
      </c>
      <c r="T61" t="inlineStr">
        <is>
          <t>39917</t>
        </is>
      </c>
      <c r="U61" t="inlineStr">
        <is>
          <t>PDF ANALISIS_39917.pdf (informe original)</t>
        </is>
      </c>
      <c r="V61" t="inlineStr">
        <is>
          <t>tipo_muestra_informe_superficial_pero_es_pozo</t>
        </is>
      </c>
    </row>
    <row r="62">
      <c r="A62" t="inlineStr">
        <is>
          <t>Leticia</t>
        </is>
      </c>
      <c r="B62" t="inlineStr">
        <is>
          <t>UN-LE-027</t>
        </is>
      </c>
      <c r="C62" t="inlineStr">
        <is>
          <t>Agua cruda, superficial, pozo NUMAE</t>
        </is>
      </c>
      <c r="D62" t="inlineStr">
        <is>
          <t>POZO_NUMAE</t>
        </is>
      </c>
      <c r="E62" t="inlineStr">
        <is>
          <t>subterránea (pozo)</t>
        </is>
      </c>
      <c r="F62" t="inlineStr">
        <is>
          <t>2026-06-18</t>
        </is>
      </c>
      <c r="G62" t="inlineStr">
        <is>
          <t>2026-06-18</t>
        </is>
      </c>
      <c r="H62" t="inlineStr">
        <is>
          <t>2026-06</t>
        </is>
      </c>
      <c r="I62" t="inlineStr">
        <is>
          <t>magnesio</t>
        </is>
      </c>
      <c r="J62" t="inlineStr">
        <is>
          <t>Magnesio</t>
        </is>
      </c>
      <c r="K62" t="n">
        <v>2</v>
      </c>
      <c r="L62" t="inlineStr"/>
      <c r="N62" t="inlineStr">
        <is>
          <t>2</t>
        </is>
      </c>
      <c r="O62" t="inlineStr">
        <is>
          <t>mg/L Mg</t>
        </is>
      </c>
      <c r="P62" t="inlineStr">
        <is>
          <t>Mg</t>
        </is>
      </c>
      <c r="Q62" t="inlineStr">
        <is>
          <t>SM 3500-Mg,B</t>
        </is>
      </c>
      <c r="R62" t="inlineStr">
        <is>
          <t>2026-06-23</t>
        </is>
      </c>
      <c r="S62" t="inlineStr">
        <is>
          <t>Laboratorio de Ingeniería Ambiental, Facultad de Ingeniería, UNAL Bogotá (LIA)</t>
        </is>
      </c>
      <c r="T62" t="inlineStr">
        <is>
          <t>39917</t>
        </is>
      </c>
      <c r="U62" t="inlineStr">
        <is>
          <t>PDF ANALISIS_39917.pdf (informe original)</t>
        </is>
      </c>
      <c r="V62" t="inlineStr">
        <is>
          <t>tipo_muestra_informe_superficial_pero_es_pozo</t>
        </is>
      </c>
    </row>
    <row r="63">
      <c r="A63" t="inlineStr">
        <is>
          <t>Leticia</t>
        </is>
      </c>
      <c r="B63" t="inlineStr">
        <is>
          <t>UN-LE-027</t>
        </is>
      </c>
      <c r="C63" t="inlineStr">
        <is>
          <t>Agua cruda, superficial, pozo NUMAE</t>
        </is>
      </c>
      <c r="D63" t="inlineStr">
        <is>
          <t>POZO_NUMAE</t>
        </is>
      </c>
      <c r="E63" t="inlineStr">
        <is>
          <t>subterránea (pozo)</t>
        </is>
      </c>
      <c r="F63" t="inlineStr">
        <is>
          <t>2026-06-18</t>
        </is>
      </c>
      <c r="G63" t="inlineStr">
        <is>
          <t>2026-06-18</t>
        </is>
      </c>
      <c r="H63" t="inlineStr">
        <is>
          <t>2026-06</t>
        </is>
      </c>
      <c r="I63" t="inlineStr">
        <is>
          <t>hierro</t>
        </is>
      </c>
      <c r="J63" t="inlineStr">
        <is>
          <t>Hierro</t>
        </is>
      </c>
      <c r="K63" t="n">
        <v>0.05</v>
      </c>
      <c r="L63" t="inlineStr">
        <is>
          <t>&lt;</t>
        </is>
      </c>
      <c r="M63" t="n">
        <v>0.05</v>
      </c>
      <c r="N63" t="inlineStr">
        <is>
          <t>&lt;0,05</t>
        </is>
      </c>
      <c r="O63" t="inlineStr">
        <is>
          <t>mg/L Fe +3</t>
        </is>
      </c>
      <c r="P63" t="inlineStr">
        <is>
          <t>Fe total</t>
        </is>
      </c>
      <c r="Q63" t="inlineStr">
        <is>
          <t>SM 3111 B</t>
        </is>
      </c>
      <c r="R63" t="inlineStr">
        <is>
          <t>2026-07-03</t>
        </is>
      </c>
      <c r="S63" t="inlineStr">
        <is>
          <t>Laboratorio de Ingeniería Ambiental, Facultad de Ingeniería, UNAL Bogotá (LIA)</t>
        </is>
      </c>
      <c r="T63" t="inlineStr">
        <is>
          <t>39917</t>
        </is>
      </c>
      <c r="U63" t="inlineStr">
        <is>
          <t>PDF ANALISIS_39917.pdf (informe original)</t>
        </is>
      </c>
      <c r="V63" t="inlineStr">
        <is>
          <t>tipo_muestra_informe_superficial_pero_es_pozo</t>
        </is>
      </c>
    </row>
    <row r="64">
      <c r="A64" t="inlineStr">
        <is>
          <t>Leticia</t>
        </is>
      </c>
      <c r="B64" t="inlineStr">
        <is>
          <t>UN-LE-027</t>
        </is>
      </c>
      <c r="C64" t="inlineStr">
        <is>
          <t>Agua cruda, superficial, pozo NUMAE</t>
        </is>
      </c>
      <c r="D64" t="inlineStr">
        <is>
          <t>POZO_NUMAE</t>
        </is>
      </c>
      <c r="E64" t="inlineStr">
        <is>
          <t>subterránea (pozo)</t>
        </is>
      </c>
      <c r="F64" t="inlineStr">
        <is>
          <t>2026-06-18</t>
        </is>
      </c>
      <c r="G64" t="inlineStr">
        <is>
          <t>2026-06-18</t>
        </is>
      </c>
      <c r="H64" t="inlineStr">
        <is>
          <t>2026-06</t>
        </is>
      </c>
      <c r="I64" t="inlineStr">
        <is>
          <t>manganeso</t>
        </is>
      </c>
      <c r="J64" t="inlineStr">
        <is>
          <t>Manganeso</t>
        </is>
      </c>
      <c r="K64" t="n">
        <v>0.08</v>
      </c>
      <c r="L64" t="inlineStr"/>
      <c r="N64" t="inlineStr">
        <is>
          <t>0,08</t>
        </is>
      </c>
      <c r="O64" t="inlineStr">
        <is>
          <t>mg/L Mn +7</t>
        </is>
      </c>
      <c r="P64" t="inlineStr">
        <is>
          <t>Mn total</t>
        </is>
      </c>
      <c r="Q64" t="inlineStr">
        <is>
          <t>SM 3111 B</t>
        </is>
      </c>
      <c r="R64" t="inlineStr">
        <is>
          <t>2026-07-03</t>
        </is>
      </c>
      <c r="S64" t="inlineStr">
        <is>
          <t>Laboratorio de Ingeniería Ambiental, Facultad de Ingeniería, UNAL Bogotá (LIA)</t>
        </is>
      </c>
      <c r="T64" t="inlineStr">
        <is>
          <t>39917</t>
        </is>
      </c>
      <c r="U64" t="inlineStr">
        <is>
          <t>PDF ANALISIS_39917.pdf (informe original)</t>
        </is>
      </c>
      <c r="V64" t="inlineStr">
        <is>
          <t>tipo_muestra_informe_superficial_pero_es_pozo</t>
        </is>
      </c>
    </row>
    <row r="65">
      <c r="A65" t="inlineStr">
        <is>
          <t>Leticia</t>
        </is>
      </c>
      <c r="B65" t="inlineStr">
        <is>
          <t>UN-LE-027</t>
        </is>
      </c>
      <c r="C65" t="inlineStr">
        <is>
          <t>Agua cruda, superficial, pozo NUMAE</t>
        </is>
      </c>
      <c r="D65" t="inlineStr">
        <is>
          <t>POZO_NUMAE</t>
        </is>
      </c>
      <c r="E65" t="inlineStr">
        <is>
          <t>subterránea (pozo)</t>
        </is>
      </c>
      <c r="F65" t="inlineStr">
        <is>
          <t>2026-06-18</t>
        </is>
      </c>
      <c r="G65" t="inlineStr">
        <is>
          <t>2026-06-18</t>
        </is>
      </c>
      <c r="H65" t="inlineStr">
        <is>
          <t>2026-06</t>
        </is>
      </c>
      <c r="I65" t="inlineStr">
        <is>
          <t>cot</t>
        </is>
      </c>
      <c r="J65" t="inlineStr">
        <is>
          <t>Carbono Orgánico Total</t>
        </is>
      </c>
      <c r="K65" t="n">
        <v>1</v>
      </c>
      <c r="L65" t="inlineStr">
        <is>
          <t>&lt;</t>
        </is>
      </c>
      <c r="M65" t="n">
        <v>1</v>
      </c>
      <c r="N65" t="inlineStr">
        <is>
          <t>&lt;1,0</t>
        </is>
      </c>
      <c r="O65" t="inlineStr">
        <is>
          <t>mg/L C</t>
        </is>
      </c>
      <c r="P65" t="inlineStr">
        <is>
          <t>C</t>
        </is>
      </c>
      <c r="Q65" t="inlineStr">
        <is>
          <t>SM 5310 B</t>
        </is>
      </c>
      <c r="R65" t="inlineStr">
        <is>
          <t>2026-07-08</t>
        </is>
      </c>
      <c r="S65" t="inlineStr">
        <is>
          <t>Laboratorio de Ingeniería Ambiental, Facultad de Ingeniería, UNAL Bogotá (LIA)</t>
        </is>
      </c>
      <c r="T65" t="inlineStr">
        <is>
          <t>39917</t>
        </is>
      </c>
      <c r="U65" t="inlineStr">
        <is>
          <t>PDF ANALISIS_39917.pdf (informe original)</t>
        </is>
      </c>
      <c r="V65" t="inlineStr">
        <is>
          <t>tipo_muestra_informe_superficial_pero_es_pozo</t>
        </is>
      </c>
    </row>
    <row r="66">
      <c r="A66" t="inlineStr">
        <is>
          <t>Leticia</t>
        </is>
      </c>
      <c r="B66" t="inlineStr">
        <is>
          <t>UN-LE-027</t>
        </is>
      </c>
      <c r="C66" t="inlineStr">
        <is>
          <t>Agua cruda, superficial, pozo NUMAE</t>
        </is>
      </c>
      <c r="D66" t="inlineStr">
        <is>
          <t>POZO_NUMAE</t>
        </is>
      </c>
      <c r="E66" t="inlineStr">
        <is>
          <t>subterránea (pozo)</t>
        </is>
      </c>
      <c r="F66" t="inlineStr">
        <is>
          <t>2026-06-18</t>
        </is>
      </c>
      <c r="G66" t="inlineStr">
        <is>
          <t>2026-06-18</t>
        </is>
      </c>
      <c r="H66" t="inlineStr">
        <is>
          <t>2026-06</t>
        </is>
      </c>
      <c r="I66" t="inlineStr">
        <is>
          <t>zinc</t>
        </is>
      </c>
      <c r="J66" t="inlineStr">
        <is>
          <t>Zinc</t>
        </is>
      </c>
      <c r="K66" t="n">
        <v>0.05</v>
      </c>
      <c r="L66" t="inlineStr">
        <is>
          <t>&lt;</t>
        </is>
      </c>
      <c r="M66" t="n">
        <v>0.05</v>
      </c>
      <c r="N66" t="inlineStr">
        <is>
          <t>&lt;0,05</t>
        </is>
      </c>
      <c r="O66" t="inlineStr">
        <is>
          <t>mg/L Zn</t>
        </is>
      </c>
      <c r="P66" t="inlineStr">
        <is>
          <t>Zn</t>
        </is>
      </c>
      <c r="Q66" t="inlineStr">
        <is>
          <t>SM 3111 B</t>
        </is>
      </c>
      <c r="R66" t="inlineStr">
        <is>
          <t>2026-07-06</t>
        </is>
      </c>
      <c r="S66" t="inlineStr">
        <is>
          <t>Laboratorio de Ingeniería Ambiental, Facultad de Ingeniería, UNAL Bogotá (LIA)</t>
        </is>
      </c>
      <c r="T66" t="inlineStr">
        <is>
          <t>39917</t>
        </is>
      </c>
      <c r="U66" t="inlineStr">
        <is>
          <t>PDF ANALISIS_39917.pdf (informe original)</t>
        </is>
      </c>
      <c r="V66" t="inlineStr">
        <is>
          <t>tipo_muestra_informe_superficial_pero_es_pozo</t>
        </is>
      </c>
    </row>
    <row r="67">
      <c r="A67" t="inlineStr">
        <is>
          <t>Leticia</t>
        </is>
      </c>
      <c r="B67" t="inlineStr">
        <is>
          <t>UN-LE-027</t>
        </is>
      </c>
      <c r="C67" t="inlineStr">
        <is>
          <t>Agua cruda, superficial, pozo NUMAE</t>
        </is>
      </c>
      <c r="D67" t="inlineStr">
        <is>
          <t>POZO_NUMAE</t>
        </is>
      </c>
      <c r="E67" t="inlineStr">
        <is>
          <t>subterránea (pozo)</t>
        </is>
      </c>
      <c r="F67" t="inlineStr">
        <is>
          <t>2026-06-18</t>
        </is>
      </c>
      <c r="G67" t="inlineStr">
        <is>
          <t>2026-06-18</t>
        </is>
      </c>
      <c r="H67" t="inlineStr">
        <is>
          <t>2026-06</t>
        </is>
      </c>
      <c r="I67" t="inlineStr">
        <is>
          <t>fluoruros</t>
        </is>
      </c>
      <c r="J67" t="inlineStr">
        <is>
          <t>Fluoruros</t>
        </is>
      </c>
      <c r="K67" t="n">
        <v>0.02</v>
      </c>
      <c r="L67" t="inlineStr">
        <is>
          <t>&lt;</t>
        </is>
      </c>
      <c r="M67" t="n">
        <v>0.02</v>
      </c>
      <c r="N67" t="inlineStr">
        <is>
          <t>&lt;0,02</t>
        </is>
      </c>
      <c r="O67" t="inlineStr">
        <is>
          <t>mg/L F-</t>
        </is>
      </c>
      <c r="P67" t="inlineStr">
        <is>
          <t>F-</t>
        </is>
      </c>
      <c r="Q67" t="inlineStr">
        <is>
          <t>SM 4110 B</t>
        </is>
      </c>
      <c r="R67" t="inlineStr">
        <is>
          <t>2026-06-23</t>
        </is>
      </c>
      <c r="S67" t="inlineStr">
        <is>
          <t>Laboratorio de Ingeniería Ambiental, Facultad de Ingeniería, UNAL Bogotá (LIA)</t>
        </is>
      </c>
      <c r="T67" t="inlineStr">
        <is>
          <t>39917</t>
        </is>
      </c>
      <c r="U67" t="inlineStr">
        <is>
          <t>PDF ANALISIS_39917.pdf (informe original)</t>
        </is>
      </c>
      <c r="V67" t="inlineStr">
        <is>
          <t>tipo_muestra_informe_superficial_pero_es_pozo</t>
        </is>
      </c>
    </row>
    <row r="68">
      <c r="A68" t="inlineStr">
        <is>
          <t>Leticia</t>
        </is>
      </c>
      <c r="B68" t="inlineStr">
        <is>
          <t>UN-LE-027</t>
        </is>
      </c>
      <c r="C68" t="inlineStr">
        <is>
          <t>Agua cruda, superficial, pozo NUMAE</t>
        </is>
      </c>
      <c r="D68" t="inlineStr">
        <is>
          <t>POZO_NUMAE</t>
        </is>
      </c>
      <c r="E68" t="inlineStr">
        <is>
          <t>subterránea (pozo)</t>
        </is>
      </c>
      <c r="F68" t="inlineStr">
        <is>
          <t>2026-06-18</t>
        </is>
      </c>
      <c r="G68" t="inlineStr">
        <is>
          <t>2026-06-18</t>
        </is>
      </c>
      <c r="H68" t="inlineStr">
        <is>
          <t>2026-06</t>
        </is>
      </c>
      <c r="I68" t="inlineStr">
        <is>
          <t>nitritos_n</t>
        </is>
      </c>
      <c r="J68" t="inlineStr">
        <is>
          <t>Nitritos</t>
        </is>
      </c>
      <c r="K68" t="n">
        <v>0.1</v>
      </c>
      <c r="L68" t="inlineStr">
        <is>
          <t>&lt;</t>
        </is>
      </c>
      <c r="M68" t="n">
        <v>0.1</v>
      </c>
      <c r="N68" t="inlineStr">
        <is>
          <t>&lt;0,1</t>
        </is>
      </c>
      <c r="O68" t="inlineStr">
        <is>
          <t>mg/L N-NO2-</t>
        </is>
      </c>
      <c r="P68" t="inlineStr">
        <is>
          <t>N (de NO2-)</t>
        </is>
      </c>
      <c r="Q68" t="inlineStr">
        <is>
          <t>SM 4110 B</t>
        </is>
      </c>
      <c r="R68" t="inlineStr">
        <is>
          <t>2026-06-23</t>
        </is>
      </c>
      <c r="S68" t="inlineStr">
        <is>
          <t>Laboratorio de Ingeniería Ambiental, Facultad de Ingeniería, UNAL Bogotá (LIA)</t>
        </is>
      </c>
      <c r="T68" t="inlineStr">
        <is>
          <t>39917</t>
        </is>
      </c>
      <c r="U68" t="inlineStr">
        <is>
          <t>PDF ANALISIS_39917.pdf (informe original)</t>
        </is>
      </c>
      <c r="V68" t="inlineStr">
        <is>
          <t>tipo_muestra_informe_superficial_pero_es_pozo</t>
        </is>
      </c>
    </row>
    <row r="69">
      <c r="A69" t="inlineStr">
        <is>
          <t>Leticia</t>
        </is>
      </c>
      <c r="B69" t="inlineStr">
        <is>
          <t>UN-LE-027</t>
        </is>
      </c>
      <c r="C69" t="inlineStr">
        <is>
          <t>Agua cruda, superficial, pozo NUMAE</t>
        </is>
      </c>
      <c r="D69" t="inlineStr">
        <is>
          <t>POZO_NUMAE</t>
        </is>
      </c>
      <c r="E69" t="inlineStr">
        <is>
          <t>subterránea (pozo)</t>
        </is>
      </c>
      <c r="F69" t="inlineStr">
        <is>
          <t>2026-06-18</t>
        </is>
      </c>
      <c r="G69" t="inlineStr">
        <is>
          <t>2026-06-18</t>
        </is>
      </c>
      <c r="H69" t="inlineStr">
        <is>
          <t>2026-06</t>
        </is>
      </c>
      <c r="I69" t="inlineStr">
        <is>
          <t>nitratos_n</t>
        </is>
      </c>
      <c r="J69" t="inlineStr">
        <is>
          <t>Nitratos</t>
        </is>
      </c>
      <c r="K69" t="n">
        <v>12.4</v>
      </c>
      <c r="L69" t="inlineStr"/>
      <c r="N69" t="inlineStr">
        <is>
          <t>12,4</t>
        </is>
      </c>
      <c r="O69" t="inlineStr">
        <is>
          <t>mg/L N-NO3-</t>
        </is>
      </c>
      <c r="P69" t="inlineStr">
        <is>
          <t>N (de NO3-)</t>
        </is>
      </c>
      <c r="Q69" t="inlineStr">
        <is>
          <t>SM 4110 B</t>
        </is>
      </c>
      <c r="R69" t="inlineStr">
        <is>
          <t>2026-06-23</t>
        </is>
      </c>
      <c r="S69" t="inlineStr">
        <is>
          <t>Laboratorio de Ingeniería Ambiental, Facultad de Ingeniería, UNAL Bogotá (LIA)</t>
        </is>
      </c>
      <c r="T69" t="inlineStr">
        <is>
          <t>39917</t>
        </is>
      </c>
      <c r="U69" t="inlineStr">
        <is>
          <t>PDF ANALISIS_39917.pdf (informe original)</t>
        </is>
      </c>
      <c r="V69" t="inlineStr">
        <is>
          <t>tipo_muestra_informe_superficial_pero_es_pozo</t>
        </is>
      </c>
    </row>
    <row r="70">
      <c r="A70" t="inlineStr">
        <is>
          <t>Leticia</t>
        </is>
      </c>
      <c r="B70" t="inlineStr">
        <is>
          <t>UN-LE-027</t>
        </is>
      </c>
      <c r="C70" t="inlineStr">
        <is>
          <t>Agua cruda, superficial, pozo NUMAE</t>
        </is>
      </c>
      <c r="D70" t="inlineStr">
        <is>
          <t>POZO_NUMAE</t>
        </is>
      </c>
      <c r="E70" t="inlineStr">
        <is>
          <t>subterránea (pozo)</t>
        </is>
      </c>
      <c r="F70" t="inlineStr">
        <is>
          <t>2026-06-18</t>
        </is>
      </c>
      <c r="G70" t="inlineStr">
        <is>
          <t>2026-06-18</t>
        </is>
      </c>
      <c r="H70" t="inlineStr">
        <is>
          <t>2026-06</t>
        </is>
      </c>
      <c r="I70" t="inlineStr">
        <is>
          <t>cloruros</t>
        </is>
      </c>
      <c r="J70" t="inlineStr">
        <is>
          <t>Cloruros</t>
        </is>
      </c>
      <c r="K70" t="n">
        <v>8.199999999999999</v>
      </c>
      <c r="L70" t="inlineStr"/>
      <c r="N70" t="inlineStr">
        <is>
          <t>8,2</t>
        </is>
      </c>
      <c r="O70" t="inlineStr">
        <is>
          <t>mg/L Cl-</t>
        </is>
      </c>
      <c r="P70" t="inlineStr">
        <is>
          <t>Cl-</t>
        </is>
      </c>
      <c r="Q70" t="inlineStr">
        <is>
          <t>SM 4110 B</t>
        </is>
      </c>
      <c r="R70" t="inlineStr">
        <is>
          <t>2026-06-23</t>
        </is>
      </c>
      <c r="S70" t="inlineStr">
        <is>
          <t>Laboratorio de Ingeniería Ambiental, Facultad de Ingeniería, UNAL Bogotá (LIA)</t>
        </is>
      </c>
      <c r="T70" t="inlineStr">
        <is>
          <t>39917</t>
        </is>
      </c>
      <c r="U70" t="inlineStr">
        <is>
          <t>PDF ANALISIS_39917.pdf (informe original)</t>
        </is>
      </c>
      <c r="V70" t="inlineStr">
        <is>
          <t>tipo_muestra_informe_superficial_pero_es_pozo</t>
        </is>
      </c>
    </row>
    <row r="71">
      <c r="A71" t="inlineStr">
        <is>
          <t>Leticia</t>
        </is>
      </c>
      <c r="B71" t="inlineStr">
        <is>
          <t>UN-LE-027</t>
        </is>
      </c>
      <c r="C71" t="inlineStr">
        <is>
          <t>Agua cruda, superficial, pozo NUMAE</t>
        </is>
      </c>
      <c r="D71" t="inlineStr">
        <is>
          <t>POZO_NUMAE</t>
        </is>
      </c>
      <c r="E71" t="inlineStr">
        <is>
          <t>subterránea (pozo)</t>
        </is>
      </c>
      <c r="F71" t="inlineStr">
        <is>
          <t>2026-06-18</t>
        </is>
      </c>
      <c r="G71" t="inlineStr">
        <is>
          <t>2026-06-18</t>
        </is>
      </c>
      <c r="H71" t="inlineStr">
        <is>
          <t>2026-06</t>
        </is>
      </c>
      <c r="I71" t="inlineStr">
        <is>
          <t>sulfatos</t>
        </is>
      </c>
      <c r="J71" t="inlineStr">
        <is>
          <t>Sulfatos</t>
        </is>
      </c>
      <c r="K71" t="n">
        <v>0.5</v>
      </c>
      <c r="L71" t="inlineStr"/>
      <c r="N71" t="inlineStr">
        <is>
          <t>0,5</t>
        </is>
      </c>
      <c r="O71" t="inlineStr">
        <is>
          <t>mg/L SO4=</t>
        </is>
      </c>
      <c r="P71" t="inlineStr">
        <is>
          <t>SO4 2-</t>
        </is>
      </c>
      <c r="Q71" t="inlineStr">
        <is>
          <t>SM 4110 B</t>
        </is>
      </c>
      <c r="R71" t="inlineStr">
        <is>
          <t>2026-06-23</t>
        </is>
      </c>
      <c r="S71" t="inlineStr">
        <is>
          <t>Laboratorio de Ingeniería Ambiental, Facultad de Ingeniería, UNAL Bogotá (LIA)</t>
        </is>
      </c>
      <c r="T71" t="inlineStr">
        <is>
          <t>39917</t>
        </is>
      </c>
      <c r="U71" t="inlineStr">
        <is>
          <t>PDF ANALISIS_39917.pdf (informe original)</t>
        </is>
      </c>
      <c r="V71" t="inlineStr">
        <is>
          <t>tipo_muestra_informe_superficial_pero_es_pozo</t>
        </is>
      </c>
    </row>
    <row r="72">
      <c r="A72" t="inlineStr">
        <is>
          <t>Leticia</t>
        </is>
      </c>
      <c r="B72" t="inlineStr">
        <is>
          <t>UN-LE-027</t>
        </is>
      </c>
      <c r="C72" t="inlineStr">
        <is>
          <t>Agua cruda, superficial, pozo NUMAE</t>
        </is>
      </c>
      <c r="D72" t="inlineStr">
        <is>
          <t>POZO_NUMAE</t>
        </is>
      </c>
      <c r="E72" t="inlineStr">
        <is>
          <t>subterránea (pozo)</t>
        </is>
      </c>
      <c r="F72" t="inlineStr">
        <is>
          <t>2026-06-18</t>
        </is>
      </c>
      <c r="G72" t="inlineStr">
        <is>
          <t>2026-06-18</t>
        </is>
      </c>
      <c r="H72" t="inlineStr">
        <is>
          <t>2026-06</t>
        </is>
      </c>
      <c r="I72" t="inlineStr">
        <is>
          <t>ortofosfatos</t>
        </is>
      </c>
      <c r="J72" t="inlineStr">
        <is>
          <t>Ortofosfatos</t>
        </is>
      </c>
      <c r="K72" t="n">
        <v>0.2</v>
      </c>
      <c r="L72" t="inlineStr">
        <is>
          <t>&lt;</t>
        </is>
      </c>
      <c r="M72" t="n">
        <v>0.2</v>
      </c>
      <c r="N72" t="inlineStr">
        <is>
          <t>&lt;0,2</t>
        </is>
      </c>
      <c r="O72" t="inlineStr">
        <is>
          <t>mg/L PO4-3</t>
        </is>
      </c>
      <c r="P72" t="inlineStr">
        <is>
          <t>PO4 3-</t>
        </is>
      </c>
      <c r="Q72" t="inlineStr">
        <is>
          <t>SM 4110 B</t>
        </is>
      </c>
      <c r="R72" t="inlineStr">
        <is>
          <t>2026-06-23</t>
        </is>
      </c>
      <c r="S72" t="inlineStr">
        <is>
          <t>Laboratorio de Ingeniería Ambiental, Facultad de Ingeniería, UNAL Bogotá (LIA)</t>
        </is>
      </c>
      <c r="T72" t="inlineStr">
        <is>
          <t>39917</t>
        </is>
      </c>
      <c r="U72" t="inlineStr">
        <is>
          <t>PDF ANALISIS_39917.pdf (informe original)</t>
        </is>
      </c>
      <c r="V72" t="inlineStr">
        <is>
          <t>tipo_muestra_informe_superficial_pero_es_pozo</t>
        </is>
      </c>
    </row>
    <row r="73">
      <c r="A73" t="inlineStr">
        <is>
          <t>Leticia</t>
        </is>
      </c>
      <c r="B73" t="inlineStr">
        <is>
          <t>UN-LE-027</t>
        </is>
      </c>
      <c r="C73" t="inlineStr">
        <is>
          <t>Agua cruda, superficial, pozo NUMAE</t>
        </is>
      </c>
      <c r="D73" t="inlineStr">
        <is>
          <t>POZO_NUMAE</t>
        </is>
      </c>
      <c r="E73" t="inlineStr">
        <is>
          <t>subterránea (pozo)</t>
        </is>
      </c>
      <c r="F73" t="inlineStr">
        <is>
          <t>2026-06-18</t>
        </is>
      </c>
      <c r="G73" t="inlineStr">
        <is>
          <t>2026-06-18</t>
        </is>
      </c>
      <c r="H73" t="inlineStr">
        <is>
          <t>2026-06</t>
        </is>
      </c>
      <c r="I73" t="inlineStr">
        <is>
          <t>solidos_totales</t>
        </is>
      </c>
      <c r="J73" t="inlineStr">
        <is>
          <t>Sólidos Totales</t>
        </is>
      </c>
      <c r="K73" t="n">
        <v>63</v>
      </c>
      <c r="L73" t="inlineStr"/>
      <c r="N73" t="inlineStr">
        <is>
          <t>63</t>
        </is>
      </c>
      <c r="O73" t="inlineStr">
        <is>
          <t>mg/L</t>
        </is>
      </c>
      <c r="P73" t="inlineStr">
        <is>
          <t>residuo a 103–105 °C</t>
        </is>
      </c>
      <c r="Q73" t="inlineStr">
        <is>
          <t>SM 2540 B</t>
        </is>
      </c>
      <c r="R73" t="inlineStr">
        <is>
          <t>2026-06-23</t>
        </is>
      </c>
      <c r="S73" t="inlineStr">
        <is>
          <t>Laboratorio de Ingeniería Ambiental, Facultad de Ingeniería, UNAL Bogotá (LIA)</t>
        </is>
      </c>
      <c r="T73" t="inlineStr">
        <is>
          <t>39917</t>
        </is>
      </c>
      <c r="U73" t="inlineStr">
        <is>
          <t>PDF ANALISIS_39917.pdf (informe original)</t>
        </is>
      </c>
      <c r="V73" t="inlineStr">
        <is>
          <t>tipo_muestra_informe_superficial_pero_es_pozo</t>
        </is>
      </c>
    </row>
    <row r="74">
      <c r="A74" t="inlineStr">
        <is>
          <t>Leticia</t>
        </is>
      </c>
      <c r="B74" t="inlineStr">
        <is>
          <t>UN-LE-027</t>
        </is>
      </c>
      <c r="C74" t="inlineStr">
        <is>
          <t>Agua cruda, superficial, pozo NUMAE</t>
        </is>
      </c>
      <c r="D74" t="inlineStr">
        <is>
          <t>POZO_NUMAE</t>
        </is>
      </c>
      <c r="E74" t="inlineStr">
        <is>
          <t>subterránea (pozo)</t>
        </is>
      </c>
      <c r="F74" t="inlineStr">
        <is>
          <t>2026-06-18</t>
        </is>
      </c>
      <c r="G74" t="inlineStr">
        <is>
          <t>2026-06-18</t>
        </is>
      </c>
      <c r="H74" t="inlineStr">
        <is>
          <t>2026-06</t>
        </is>
      </c>
      <c r="I74" t="inlineStr">
        <is>
          <t>sst</t>
        </is>
      </c>
      <c r="J74" t="inlineStr">
        <is>
          <t>Sólidos Suspendidos Totales</t>
        </is>
      </c>
      <c r="K74" t="n">
        <v>5</v>
      </c>
      <c r="L74" t="inlineStr">
        <is>
          <t>&lt;</t>
        </is>
      </c>
      <c r="M74" t="n">
        <v>5</v>
      </c>
      <c r="N74" t="inlineStr">
        <is>
          <t>&lt;5</t>
        </is>
      </c>
      <c r="O74" t="inlineStr">
        <is>
          <t>mg/L</t>
        </is>
      </c>
      <c r="P74" t="inlineStr">
        <is>
          <t>retenidos en filtro</t>
        </is>
      </c>
      <c r="Q74" t="inlineStr">
        <is>
          <t>SM 2540 D</t>
        </is>
      </c>
      <c r="R74" t="inlineStr">
        <is>
          <t>2026-06-24</t>
        </is>
      </c>
      <c r="S74" t="inlineStr">
        <is>
          <t>Laboratorio de Ingeniería Ambiental, Facultad de Ingeniería, UNAL Bogotá (LIA)</t>
        </is>
      </c>
      <c r="T74" t="inlineStr">
        <is>
          <t>39917</t>
        </is>
      </c>
      <c r="U74" t="inlineStr">
        <is>
          <t>PDF ANALISIS_39917.pdf (informe original)</t>
        </is>
      </c>
      <c r="V74" t="inlineStr">
        <is>
          <t>tipo_muestra_informe_superficial_pero_es_pozo</t>
        </is>
      </c>
    </row>
    <row r="75">
      <c r="A75" t="inlineStr">
        <is>
          <t>Leticia</t>
        </is>
      </c>
      <c r="B75" t="inlineStr">
        <is>
          <t>UN-LE-027</t>
        </is>
      </c>
      <c r="C75" t="inlineStr">
        <is>
          <t>Agua cruda, superficial, pozo NUMAE</t>
        </is>
      </c>
      <c r="D75" t="inlineStr">
        <is>
          <t>POZO_NUMAE</t>
        </is>
      </c>
      <c r="E75" t="inlineStr">
        <is>
          <t>subterránea (pozo)</t>
        </is>
      </c>
      <c r="F75" t="inlineStr">
        <is>
          <t>2026-06-18</t>
        </is>
      </c>
      <c r="G75" t="inlineStr">
        <is>
          <t>2026-06-18</t>
        </is>
      </c>
      <c r="H75" t="inlineStr">
        <is>
          <t>2026-06</t>
        </is>
      </c>
      <c r="I75" t="inlineStr">
        <is>
          <t>coliformes_totales</t>
        </is>
      </c>
      <c r="J75" t="inlineStr">
        <is>
          <t>Coliformes totales</t>
        </is>
      </c>
      <c r="K75" t="n">
        <v>18</v>
      </c>
      <c r="L75" t="inlineStr">
        <is>
          <t>&lt;</t>
        </is>
      </c>
      <c r="M75" t="n">
        <v>18</v>
      </c>
      <c r="N75" t="inlineStr">
        <is>
          <t>&lt;18</t>
        </is>
      </c>
      <c r="O75" t="inlineStr">
        <is>
          <t>NMP/100 mL</t>
        </is>
      </c>
      <c r="P75" t="inlineStr">
        <is>
          <t>NMP</t>
        </is>
      </c>
      <c r="Q75" t="inlineStr">
        <is>
          <t>SM 9221 C</t>
        </is>
      </c>
      <c r="R75" t="inlineStr">
        <is>
          <t>2026-06-22</t>
        </is>
      </c>
      <c r="S75" t="inlineStr">
        <is>
          <t>Laboratorio de Ingeniería Ambiental, Facultad de Ingeniería, UNAL Bogotá (LIA)</t>
        </is>
      </c>
      <c r="T75" t="inlineStr">
        <is>
          <t>39917</t>
        </is>
      </c>
      <c r="U75" t="inlineStr">
        <is>
          <t>PDF ANALISIS_39917.pdf (informe original)</t>
        </is>
      </c>
      <c r="V75" t="inlineStr">
        <is>
          <t>tipo_muestra_informe_superficial_pero_es_pozo</t>
        </is>
      </c>
    </row>
    <row r="76">
      <c r="A76" t="inlineStr">
        <is>
          <t>Leticia</t>
        </is>
      </c>
      <c r="B76" t="inlineStr">
        <is>
          <t>UN-LE-027</t>
        </is>
      </c>
      <c r="C76" t="inlineStr">
        <is>
          <t>Agua cruda, superficial, pozo NUMAE</t>
        </is>
      </c>
      <c r="D76" t="inlineStr">
        <is>
          <t>POZO_NUMAE</t>
        </is>
      </c>
      <c r="E76" t="inlineStr">
        <is>
          <t>subterránea (pozo)</t>
        </is>
      </c>
      <c r="F76" t="inlineStr">
        <is>
          <t>2026-06-18</t>
        </is>
      </c>
      <c r="G76" t="inlineStr">
        <is>
          <t>2026-06-18</t>
        </is>
      </c>
      <c r="H76" t="inlineStr">
        <is>
          <t>2026-06</t>
        </is>
      </c>
      <c r="I76" t="inlineStr">
        <is>
          <t>e_coli</t>
        </is>
      </c>
      <c r="J76" t="inlineStr">
        <is>
          <t>E. coli</t>
        </is>
      </c>
      <c r="K76" t="n">
        <v>18</v>
      </c>
      <c r="L76" t="inlineStr">
        <is>
          <t>&lt;</t>
        </is>
      </c>
      <c r="M76" t="n">
        <v>18</v>
      </c>
      <c r="N76" t="inlineStr">
        <is>
          <t>&lt;18</t>
        </is>
      </c>
      <c r="O76" t="inlineStr">
        <is>
          <t>NMP/100 mL</t>
        </is>
      </c>
      <c r="P76" t="inlineStr">
        <is>
          <t>NMP</t>
        </is>
      </c>
      <c r="Q76" t="inlineStr">
        <is>
          <t>SM 9221 C</t>
        </is>
      </c>
      <c r="R76" t="inlineStr">
        <is>
          <t>2026-06-22</t>
        </is>
      </c>
      <c r="S76" t="inlineStr">
        <is>
          <t>Laboratorio de Ingeniería Ambiental, Facultad de Ingeniería, UNAL Bogotá (LIA)</t>
        </is>
      </c>
      <c r="T76" t="inlineStr">
        <is>
          <t>39917</t>
        </is>
      </c>
      <c r="U76" t="inlineStr">
        <is>
          <t>PDF ANALISIS_39917.pdf (informe original)</t>
        </is>
      </c>
      <c r="V76" t="inlineStr">
        <is>
          <t>tipo_muestra_informe_superficial_pero_es_pozo</t>
        </is>
      </c>
    </row>
    <row r="77">
      <c r="A77" t="inlineStr">
        <is>
          <t>Leticia</t>
        </is>
      </c>
      <c r="B77" t="inlineStr">
        <is>
          <t>UN-LE-025</t>
        </is>
      </c>
      <c r="C77" t="inlineStr">
        <is>
          <t>Agua cruda, superficial, pozo Universidad Nacional Amazonia</t>
        </is>
      </c>
      <c r="D77" t="inlineStr">
        <is>
          <t>POZO_UN</t>
        </is>
      </c>
      <c r="E77" t="inlineStr">
        <is>
          <t>subterránea (pozo)</t>
        </is>
      </c>
      <c r="F77" t="inlineStr">
        <is>
          <t>2026-06-18</t>
        </is>
      </c>
      <c r="G77" t="inlineStr">
        <is>
          <t>2026-08-20</t>
        </is>
      </c>
      <c r="H77" t="inlineStr">
        <is>
          <t>2026-08</t>
        </is>
      </c>
      <c r="I77" t="inlineStr">
        <is>
          <t>turbiedad</t>
        </is>
      </c>
      <c r="J77" t="inlineStr">
        <is>
          <t>Turbiedad</t>
        </is>
      </c>
      <c r="K77" t="n">
        <v>0.48</v>
      </c>
      <c r="L77" t="inlineStr"/>
      <c r="N77" t="inlineStr">
        <is>
          <t>0,48</t>
        </is>
      </c>
      <c r="O77" t="inlineStr">
        <is>
          <t>UNT</t>
        </is>
      </c>
      <c r="P77" t="inlineStr">
        <is>
          <t>turbiedad nefelométrica</t>
        </is>
      </c>
      <c r="Q77" t="inlineStr">
        <is>
          <t>SM 2130 B</t>
        </is>
      </c>
      <c r="R77" t="inlineStr">
        <is>
          <t>2026-08-21</t>
        </is>
      </c>
      <c r="S77" t="inlineStr">
        <is>
          <t>Laboratorio de Ingeniería Ambiental, Facultad de Ingeniería, UNAL Bogotá (LIA)</t>
        </is>
      </c>
      <c r="T77" t="inlineStr">
        <is>
          <t>40015</t>
        </is>
      </c>
      <c r="U77" t="inlineStr">
        <is>
          <t>PDF ANALISIS_40015.pdf (informe original)</t>
        </is>
      </c>
      <c r="V77" t="inlineStr">
        <is>
          <t>fecha_y_hora_de_muestreo_copiadas_de_39915;tipo_muestra_informe_superficial_pero_es_pozo</t>
        </is>
      </c>
    </row>
    <row r="78">
      <c r="A78" t="inlineStr">
        <is>
          <t>Leticia</t>
        </is>
      </c>
      <c r="B78" t="inlineStr">
        <is>
          <t>UN-LE-025</t>
        </is>
      </c>
      <c r="C78" t="inlineStr">
        <is>
          <t>Agua cruda, superficial, pozo Universidad Nacional Amazonia</t>
        </is>
      </c>
      <c r="D78" t="inlineStr">
        <is>
          <t>POZO_UN</t>
        </is>
      </c>
      <c r="E78" t="inlineStr">
        <is>
          <t>subterránea (pozo)</t>
        </is>
      </c>
      <c r="F78" t="inlineStr">
        <is>
          <t>2026-06-18</t>
        </is>
      </c>
      <c r="G78" t="inlineStr">
        <is>
          <t>2026-08-20</t>
        </is>
      </c>
      <c r="H78" t="inlineStr">
        <is>
          <t>2026-08</t>
        </is>
      </c>
      <c r="I78" t="inlineStr">
        <is>
          <t>color_aparente</t>
        </is>
      </c>
      <c r="J78" t="inlineStr">
        <is>
          <t>Color Aparente</t>
        </is>
      </c>
      <c r="K78" t="n">
        <v>7</v>
      </c>
      <c r="L78" t="inlineStr"/>
      <c r="N78" t="inlineStr">
        <is>
          <t>7</t>
        </is>
      </c>
      <c r="O78" t="inlineStr">
        <is>
          <t>UPC</t>
        </is>
      </c>
      <c r="P78" t="inlineStr">
        <is>
          <t>Pt-Co, sin filtrar</t>
        </is>
      </c>
      <c r="Q78" t="inlineStr">
        <is>
          <t>SM 2120 B</t>
        </is>
      </c>
      <c r="R78" t="inlineStr">
        <is>
          <t>2026-08-21</t>
        </is>
      </c>
      <c r="S78" t="inlineStr">
        <is>
          <t>Laboratorio de Ingeniería Ambiental, Facultad de Ingeniería, UNAL Bogotá (LIA)</t>
        </is>
      </c>
      <c r="T78" t="inlineStr">
        <is>
          <t>40015</t>
        </is>
      </c>
      <c r="U78" t="inlineStr">
        <is>
          <t>PDF ANALISIS_40015.pdf (informe original)</t>
        </is>
      </c>
      <c r="V78" t="inlineStr">
        <is>
          <t>fecha_y_hora_de_muestreo_copiadas_de_39915;tipo_muestra_informe_superficial_pero_es_pozo</t>
        </is>
      </c>
    </row>
    <row r="79">
      <c r="A79" t="inlineStr">
        <is>
          <t>Leticia</t>
        </is>
      </c>
      <c r="B79" t="inlineStr">
        <is>
          <t>UN-LE-025</t>
        </is>
      </c>
      <c r="C79" t="inlineStr">
        <is>
          <t>Agua cruda, superficial, pozo Universidad Nacional Amazonia</t>
        </is>
      </c>
      <c r="D79" t="inlineStr">
        <is>
          <t>POZO_UN</t>
        </is>
      </c>
      <c r="E79" t="inlineStr">
        <is>
          <t>subterránea (pozo)</t>
        </is>
      </c>
      <c r="F79" t="inlineStr">
        <is>
          <t>2026-06-18</t>
        </is>
      </c>
      <c r="G79" t="inlineStr">
        <is>
          <t>2026-08-20</t>
        </is>
      </c>
      <c r="H79" t="inlineStr">
        <is>
          <t>2026-08</t>
        </is>
      </c>
      <c r="I79" t="inlineStr">
        <is>
          <t>ph</t>
        </is>
      </c>
      <c r="J79" t="inlineStr">
        <is>
          <t>pH</t>
        </is>
      </c>
      <c r="K79" t="n">
        <v>5.45</v>
      </c>
      <c r="L79" t="inlineStr"/>
      <c r="N79" t="inlineStr">
        <is>
          <t>5,45</t>
        </is>
      </c>
      <c r="O79" t="inlineStr">
        <is>
          <t>Unidades</t>
        </is>
      </c>
      <c r="P79" t="inlineStr">
        <is>
          <t>pH</t>
        </is>
      </c>
      <c r="Q79" t="inlineStr">
        <is>
          <t>SM 4500 H+B</t>
        </is>
      </c>
      <c r="R79" t="inlineStr">
        <is>
          <t>2026-08-21</t>
        </is>
      </c>
      <c r="S79" t="inlineStr">
        <is>
          <t>Laboratorio de Ingeniería Ambiental, Facultad de Ingeniería, UNAL Bogotá (LIA)</t>
        </is>
      </c>
      <c r="T79" t="inlineStr">
        <is>
          <t>40015</t>
        </is>
      </c>
      <c r="U79" t="inlineStr">
        <is>
          <t>PDF ANALISIS_40015.pdf (informe original)</t>
        </is>
      </c>
      <c r="V79" t="inlineStr">
        <is>
          <t>fecha_y_hora_de_muestreo_copiadas_de_39915;tipo_muestra_informe_superficial_pero_es_pozo</t>
        </is>
      </c>
    </row>
    <row r="80">
      <c r="A80" t="inlineStr">
        <is>
          <t>Leticia</t>
        </is>
      </c>
      <c r="B80" t="inlineStr">
        <is>
          <t>UN-LE-025</t>
        </is>
      </c>
      <c r="C80" t="inlineStr">
        <is>
          <t>Agua cruda, superficial, pozo Universidad Nacional Amazonia</t>
        </is>
      </c>
      <c r="D80" t="inlineStr">
        <is>
          <t>POZO_UN</t>
        </is>
      </c>
      <c r="E80" t="inlineStr">
        <is>
          <t>subterránea (pozo)</t>
        </is>
      </c>
      <c r="F80" t="inlineStr">
        <is>
          <t>2026-06-18</t>
        </is>
      </c>
      <c r="G80" t="inlineStr">
        <is>
          <t>2026-08-20</t>
        </is>
      </c>
      <c r="H80" t="inlineStr">
        <is>
          <t>2026-08</t>
        </is>
      </c>
      <c r="I80" t="inlineStr">
        <is>
          <t>conductividad</t>
        </is>
      </c>
      <c r="J80" t="inlineStr">
        <is>
          <t>Conductividad Específica</t>
        </is>
      </c>
      <c r="K80" t="n">
        <v>38.6</v>
      </c>
      <c r="L80" t="inlineStr"/>
      <c r="N80" t="inlineStr">
        <is>
          <t>38,6</t>
        </is>
      </c>
      <c r="O80" t="inlineStr">
        <is>
          <t>µS/cm 25 °C</t>
        </is>
      </c>
      <c r="P80" t="inlineStr">
        <is>
          <t>CE a 25 °C</t>
        </is>
      </c>
      <c r="Q80" t="inlineStr">
        <is>
          <t>SM 2510 B</t>
        </is>
      </c>
      <c r="R80" t="inlineStr">
        <is>
          <t>2026-08-21</t>
        </is>
      </c>
      <c r="S80" t="inlineStr">
        <is>
          <t>Laboratorio de Ingeniería Ambiental, Facultad de Ingeniería, UNAL Bogotá (LIA)</t>
        </is>
      </c>
      <c r="T80" t="inlineStr">
        <is>
          <t>40015</t>
        </is>
      </c>
      <c r="U80" t="inlineStr">
        <is>
          <t>PDF ANALISIS_40015.pdf (informe original)</t>
        </is>
      </c>
      <c r="V80" t="inlineStr">
        <is>
          <t>fecha_y_hora_de_muestreo_copiadas_de_39915;tipo_muestra_informe_superficial_pero_es_pozo</t>
        </is>
      </c>
    </row>
    <row r="81">
      <c r="A81" t="inlineStr">
        <is>
          <t>Leticia</t>
        </is>
      </c>
      <c r="B81" t="inlineStr">
        <is>
          <t>UN-LE-025</t>
        </is>
      </c>
      <c r="C81" t="inlineStr">
        <is>
          <t>Agua cruda, superficial, pozo Universidad Nacional Amazonia</t>
        </is>
      </c>
      <c r="D81" t="inlineStr">
        <is>
          <t>POZO_UN</t>
        </is>
      </c>
      <c r="E81" t="inlineStr">
        <is>
          <t>subterránea (pozo)</t>
        </is>
      </c>
      <c r="F81" t="inlineStr">
        <is>
          <t>2026-06-18</t>
        </is>
      </c>
      <c r="G81" t="inlineStr">
        <is>
          <t>2026-08-20</t>
        </is>
      </c>
      <c r="H81" t="inlineStr">
        <is>
          <t>2026-08</t>
        </is>
      </c>
      <c r="I81" t="inlineStr">
        <is>
          <t>alcalinidad</t>
        </is>
      </c>
      <c r="J81" t="inlineStr">
        <is>
          <t>Alcalinidad total</t>
        </is>
      </c>
      <c r="K81" t="n">
        <v>22</v>
      </c>
      <c r="L81" t="inlineStr"/>
      <c r="N81" t="inlineStr">
        <is>
          <t>22</t>
        </is>
      </c>
      <c r="O81" t="inlineStr">
        <is>
          <t>mg/L CaCO3</t>
        </is>
      </c>
      <c r="P81" t="inlineStr">
        <is>
          <t>CaCO3</t>
        </is>
      </c>
      <c r="Q81" t="inlineStr">
        <is>
          <t>SM 2320 (Indicador)</t>
        </is>
      </c>
      <c r="R81" t="inlineStr">
        <is>
          <t>2026-08-21</t>
        </is>
      </c>
      <c r="S81" t="inlineStr">
        <is>
          <t>Laboratorio de Ingeniería Ambiental, Facultad de Ingeniería, UNAL Bogotá (LIA)</t>
        </is>
      </c>
      <c r="T81" t="inlineStr">
        <is>
          <t>40015</t>
        </is>
      </c>
      <c r="U81" t="inlineStr">
        <is>
          <t>PDF ANALISIS_40015.pdf (informe original)</t>
        </is>
      </c>
      <c r="V81" t="inlineStr">
        <is>
          <t>fecha_y_hora_de_muestreo_copiadas_de_39915;tipo_muestra_informe_superficial_pero_es_pozo</t>
        </is>
      </c>
    </row>
    <row r="82">
      <c r="A82" t="inlineStr">
        <is>
          <t>Leticia</t>
        </is>
      </c>
      <c r="B82" t="inlineStr">
        <is>
          <t>UN-LE-025</t>
        </is>
      </c>
      <c r="C82" t="inlineStr">
        <is>
          <t>Agua cruda, superficial, pozo Universidad Nacional Amazonia</t>
        </is>
      </c>
      <c r="D82" t="inlineStr">
        <is>
          <t>POZO_UN</t>
        </is>
      </c>
      <c r="E82" t="inlineStr">
        <is>
          <t>subterránea (pozo)</t>
        </is>
      </c>
      <c r="F82" t="inlineStr">
        <is>
          <t>2026-06-18</t>
        </is>
      </c>
      <c r="G82" t="inlineStr">
        <is>
          <t>2026-08-20</t>
        </is>
      </c>
      <c r="H82" t="inlineStr">
        <is>
          <t>2026-08</t>
        </is>
      </c>
      <c r="I82" t="inlineStr">
        <is>
          <t>acidez</t>
        </is>
      </c>
      <c r="J82" t="inlineStr">
        <is>
          <t>Acidez total</t>
        </is>
      </c>
      <c r="K82" t="n">
        <v>36</v>
      </c>
      <c r="L82" t="inlineStr"/>
      <c r="N82" t="inlineStr">
        <is>
          <t>36</t>
        </is>
      </c>
      <c r="O82" t="inlineStr">
        <is>
          <t>mg/L CaCO3</t>
        </is>
      </c>
      <c r="P82" t="inlineStr">
        <is>
          <t>CaCO3</t>
        </is>
      </c>
      <c r="Q82" t="inlineStr">
        <is>
          <t>SM 2310 B</t>
        </is>
      </c>
      <c r="R82" t="inlineStr">
        <is>
          <t>2026-08-21</t>
        </is>
      </c>
      <c r="S82" t="inlineStr">
        <is>
          <t>Laboratorio de Ingeniería Ambiental, Facultad de Ingeniería, UNAL Bogotá (LIA)</t>
        </is>
      </c>
      <c r="T82" t="inlineStr">
        <is>
          <t>40015</t>
        </is>
      </c>
      <c r="U82" t="inlineStr">
        <is>
          <t>PDF ANALISIS_40015.pdf (informe original)</t>
        </is>
      </c>
      <c r="V82" t="inlineStr">
        <is>
          <t>fecha_y_hora_de_muestreo_copiadas_de_39915;tipo_muestra_informe_superficial_pero_es_pozo</t>
        </is>
      </c>
    </row>
    <row r="83">
      <c r="A83" t="inlineStr">
        <is>
          <t>Leticia</t>
        </is>
      </c>
      <c r="B83" t="inlineStr">
        <is>
          <t>UN-LE-025</t>
        </is>
      </c>
      <c r="C83" t="inlineStr">
        <is>
          <t>Agua cruda, superficial, pozo Universidad Nacional Amazonia</t>
        </is>
      </c>
      <c r="D83" t="inlineStr">
        <is>
          <t>POZO_UN</t>
        </is>
      </c>
      <c r="E83" t="inlineStr">
        <is>
          <t>subterránea (pozo)</t>
        </is>
      </c>
      <c r="F83" t="inlineStr">
        <is>
          <t>2026-06-18</t>
        </is>
      </c>
      <c r="G83" t="inlineStr">
        <is>
          <t>2026-08-20</t>
        </is>
      </c>
      <c r="H83" t="inlineStr">
        <is>
          <t>2026-08</t>
        </is>
      </c>
      <c r="I83" t="inlineStr">
        <is>
          <t>dureza_total</t>
        </is>
      </c>
      <c r="J83" t="inlineStr">
        <is>
          <t>Dureza total</t>
        </is>
      </c>
      <c r="K83" t="n">
        <v>14</v>
      </c>
      <c r="L83" t="inlineStr"/>
      <c r="N83" t="inlineStr">
        <is>
          <t>14</t>
        </is>
      </c>
      <c r="O83" t="inlineStr">
        <is>
          <t>mg/L CaCO3</t>
        </is>
      </c>
      <c r="P83" t="inlineStr">
        <is>
          <t>CaCO3</t>
        </is>
      </c>
      <c r="Q83" t="inlineStr">
        <is>
          <t>SM 2340 C</t>
        </is>
      </c>
      <c r="R83" t="inlineStr">
        <is>
          <t>2026-08-25</t>
        </is>
      </c>
      <c r="S83" t="inlineStr">
        <is>
          <t>Laboratorio de Ingeniería Ambiental, Facultad de Ingeniería, UNAL Bogotá (LIA)</t>
        </is>
      </c>
      <c r="T83" t="inlineStr">
        <is>
          <t>40015</t>
        </is>
      </c>
      <c r="U83" t="inlineStr">
        <is>
          <t>PDF ANALISIS_40015.pdf (informe original)</t>
        </is>
      </c>
      <c r="V83" t="inlineStr">
        <is>
          <t>fecha_y_hora_de_muestreo_copiadas_de_39915;tipo_muestra_informe_superficial_pero_es_pozo</t>
        </is>
      </c>
    </row>
    <row r="84">
      <c r="A84" t="inlineStr">
        <is>
          <t>Leticia</t>
        </is>
      </c>
      <c r="B84" t="inlineStr">
        <is>
          <t>UN-LE-025</t>
        </is>
      </c>
      <c r="C84" t="inlineStr">
        <is>
          <t>Agua cruda, superficial, pozo Universidad Nacional Amazonia</t>
        </is>
      </c>
      <c r="D84" t="inlineStr">
        <is>
          <t>POZO_UN</t>
        </is>
      </c>
      <c r="E84" t="inlineStr">
        <is>
          <t>subterránea (pozo)</t>
        </is>
      </c>
      <c r="F84" t="inlineStr">
        <is>
          <t>2026-06-18</t>
        </is>
      </c>
      <c r="G84" t="inlineStr">
        <is>
          <t>2026-08-20</t>
        </is>
      </c>
      <c r="H84" t="inlineStr">
        <is>
          <t>2026-08</t>
        </is>
      </c>
      <c r="I84" t="inlineStr">
        <is>
          <t>dureza_calcica</t>
        </is>
      </c>
      <c r="J84" t="inlineStr">
        <is>
          <t>Dureza Cálcica</t>
        </is>
      </c>
      <c r="K84" t="n">
        <v>5</v>
      </c>
      <c r="L84" t="inlineStr"/>
      <c r="N84" t="inlineStr">
        <is>
          <t>5</t>
        </is>
      </c>
      <c r="O84" t="inlineStr">
        <is>
          <t>mg/L CaCO3</t>
        </is>
      </c>
      <c r="P84" t="inlineStr">
        <is>
          <t>CaCO3</t>
        </is>
      </c>
      <c r="Q84" t="inlineStr">
        <is>
          <t>SM 3500-Ca,B</t>
        </is>
      </c>
      <c r="R84" t="inlineStr">
        <is>
          <t>2026-08-25</t>
        </is>
      </c>
      <c r="S84" t="inlineStr">
        <is>
          <t>Laboratorio de Ingeniería Ambiental, Facultad de Ingeniería, UNAL Bogotá (LIA)</t>
        </is>
      </c>
      <c r="T84" t="inlineStr">
        <is>
          <t>40015</t>
        </is>
      </c>
      <c r="U84" t="inlineStr">
        <is>
          <t>PDF ANALISIS_40015.pdf (informe original)</t>
        </is>
      </c>
      <c r="V84" t="inlineStr">
        <is>
          <t>fecha_y_hora_de_muestreo_copiadas_de_39915;tipo_muestra_informe_superficial_pero_es_pozo</t>
        </is>
      </c>
    </row>
    <row r="85">
      <c r="A85" t="inlineStr">
        <is>
          <t>Leticia</t>
        </is>
      </c>
      <c r="B85" t="inlineStr">
        <is>
          <t>UN-LE-025</t>
        </is>
      </c>
      <c r="C85" t="inlineStr">
        <is>
          <t>Agua cruda, superficial, pozo Universidad Nacional Amazonia</t>
        </is>
      </c>
      <c r="D85" t="inlineStr">
        <is>
          <t>POZO_UN</t>
        </is>
      </c>
      <c r="E85" t="inlineStr">
        <is>
          <t>subterránea (pozo)</t>
        </is>
      </c>
      <c r="F85" t="inlineStr">
        <is>
          <t>2026-06-18</t>
        </is>
      </c>
      <c r="G85" t="inlineStr">
        <is>
          <t>2026-08-20</t>
        </is>
      </c>
      <c r="H85" t="inlineStr">
        <is>
          <t>2026-08</t>
        </is>
      </c>
      <c r="I85" t="inlineStr">
        <is>
          <t>dureza_magnesica</t>
        </is>
      </c>
      <c r="J85" t="inlineStr">
        <is>
          <t>Dureza Magnésica</t>
        </is>
      </c>
      <c r="K85" t="n">
        <v>9</v>
      </c>
      <c r="L85" t="inlineStr"/>
      <c r="N85" t="inlineStr">
        <is>
          <t>9</t>
        </is>
      </c>
      <c r="O85" t="inlineStr">
        <is>
          <t>mg/L CaCO3</t>
        </is>
      </c>
      <c r="P85" t="inlineStr">
        <is>
          <t>CaCO3</t>
        </is>
      </c>
      <c r="Q85" t="inlineStr">
        <is>
          <t>SM 3500-Mg,B</t>
        </is>
      </c>
      <c r="R85" t="inlineStr">
        <is>
          <t>2026-08-25</t>
        </is>
      </c>
      <c r="S85" t="inlineStr">
        <is>
          <t>Laboratorio de Ingeniería Ambiental, Facultad de Ingeniería, UNAL Bogotá (LIA)</t>
        </is>
      </c>
      <c r="T85" t="inlineStr">
        <is>
          <t>40015</t>
        </is>
      </c>
      <c r="U85" t="inlineStr">
        <is>
          <t>PDF ANALISIS_40015.pdf (informe original)</t>
        </is>
      </c>
      <c r="V85" t="inlineStr">
        <is>
          <t>fecha_y_hora_de_muestreo_copiadas_de_39915;tipo_muestra_informe_superficial_pero_es_pozo</t>
        </is>
      </c>
    </row>
    <row r="86">
      <c r="A86" t="inlineStr">
        <is>
          <t>Leticia</t>
        </is>
      </c>
      <c r="B86" t="inlineStr">
        <is>
          <t>UN-LE-025</t>
        </is>
      </c>
      <c r="C86" t="inlineStr">
        <is>
          <t>Agua cruda, superficial, pozo Universidad Nacional Amazonia</t>
        </is>
      </c>
      <c r="D86" t="inlineStr">
        <is>
          <t>POZO_UN</t>
        </is>
      </c>
      <c r="E86" t="inlineStr">
        <is>
          <t>subterránea (pozo)</t>
        </is>
      </c>
      <c r="F86" t="inlineStr">
        <is>
          <t>2026-06-18</t>
        </is>
      </c>
      <c r="G86" t="inlineStr">
        <is>
          <t>2026-08-20</t>
        </is>
      </c>
      <c r="H86" t="inlineStr">
        <is>
          <t>2026-08</t>
        </is>
      </c>
      <c r="I86" t="inlineStr">
        <is>
          <t>calcio</t>
        </is>
      </c>
      <c r="J86" t="inlineStr">
        <is>
          <t>Calcio por titulación</t>
        </is>
      </c>
      <c r="K86" t="n">
        <v>2</v>
      </c>
      <c r="L86" t="inlineStr"/>
      <c r="N86" t="inlineStr">
        <is>
          <t>2</t>
        </is>
      </c>
      <c r="O86" t="inlineStr">
        <is>
          <t>mg/L Ca</t>
        </is>
      </c>
      <c r="P86" t="inlineStr">
        <is>
          <t>Ca</t>
        </is>
      </c>
      <c r="Q86" t="inlineStr">
        <is>
          <t>SM 3500-Ca,B</t>
        </is>
      </c>
      <c r="R86" t="inlineStr">
        <is>
          <t>2026-08-25</t>
        </is>
      </c>
      <c r="S86" t="inlineStr">
        <is>
          <t>Laboratorio de Ingeniería Ambiental, Facultad de Ingeniería, UNAL Bogotá (LIA)</t>
        </is>
      </c>
      <c r="T86" t="inlineStr">
        <is>
          <t>40015</t>
        </is>
      </c>
      <c r="U86" t="inlineStr">
        <is>
          <t>PDF ANALISIS_40015.pdf (informe original)</t>
        </is>
      </c>
      <c r="V86" t="inlineStr">
        <is>
          <t>fecha_y_hora_de_muestreo_copiadas_de_39915;tipo_muestra_informe_superficial_pero_es_pozo</t>
        </is>
      </c>
    </row>
    <row r="87">
      <c r="A87" t="inlineStr">
        <is>
          <t>Leticia</t>
        </is>
      </c>
      <c r="B87" t="inlineStr">
        <is>
          <t>UN-LE-025</t>
        </is>
      </c>
      <c r="C87" t="inlineStr">
        <is>
          <t>Agua cruda, superficial, pozo Universidad Nacional Amazonia</t>
        </is>
      </c>
      <c r="D87" t="inlineStr">
        <is>
          <t>POZO_UN</t>
        </is>
      </c>
      <c r="E87" t="inlineStr">
        <is>
          <t>subterránea (pozo)</t>
        </is>
      </c>
      <c r="F87" t="inlineStr">
        <is>
          <t>2026-06-18</t>
        </is>
      </c>
      <c r="G87" t="inlineStr">
        <is>
          <t>2026-08-20</t>
        </is>
      </c>
      <c r="H87" t="inlineStr">
        <is>
          <t>2026-08</t>
        </is>
      </c>
      <c r="I87" t="inlineStr">
        <is>
          <t>magnesio</t>
        </is>
      </c>
      <c r="J87" t="inlineStr">
        <is>
          <t>Magnesio</t>
        </is>
      </c>
      <c r="K87" t="n">
        <v>2</v>
      </c>
      <c r="L87" t="inlineStr"/>
      <c r="N87" t="inlineStr">
        <is>
          <t>2</t>
        </is>
      </c>
      <c r="O87" t="inlineStr">
        <is>
          <t>mg/L Mg</t>
        </is>
      </c>
      <c r="P87" t="inlineStr">
        <is>
          <t>Mg</t>
        </is>
      </c>
      <c r="Q87" t="inlineStr">
        <is>
          <t>SM 3500-Mg,B</t>
        </is>
      </c>
      <c r="R87" t="inlineStr">
        <is>
          <t>2026-08-25</t>
        </is>
      </c>
      <c r="S87" t="inlineStr">
        <is>
          <t>Laboratorio de Ingeniería Ambiental, Facultad de Ingeniería, UNAL Bogotá (LIA)</t>
        </is>
      </c>
      <c r="T87" t="inlineStr">
        <is>
          <t>40015</t>
        </is>
      </c>
      <c r="U87" t="inlineStr">
        <is>
          <t>PDF ANALISIS_40015.pdf (informe original)</t>
        </is>
      </c>
      <c r="V87" t="inlineStr">
        <is>
          <t>fecha_y_hora_de_muestreo_copiadas_de_39915;tipo_muestra_informe_superficial_pero_es_pozo</t>
        </is>
      </c>
    </row>
    <row r="88">
      <c r="A88" t="inlineStr">
        <is>
          <t>Leticia</t>
        </is>
      </c>
      <c r="B88" t="inlineStr">
        <is>
          <t>UN-LE-025</t>
        </is>
      </c>
      <c r="C88" t="inlineStr">
        <is>
          <t>Agua cruda, superficial, pozo Universidad Nacional Amazonia</t>
        </is>
      </c>
      <c r="D88" t="inlineStr">
        <is>
          <t>POZO_UN</t>
        </is>
      </c>
      <c r="E88" t="inlineStr">
        <is>
          <t>subterránea (pozo)</t>
        </is>
      </c>
      <c r="F88" t="inlineStr">
        <is>
          <t>2026-06-18</t>
        </is>
      </c>
      <c r="G88" t="inlineStr">
        <is>
          <t>2026-08-20</t>
        </is>
      </c>
      <c r="H88" t="inlineStr">
        <is>
          <t>2026-08</t>
        </is>
      </c>
      <c r="I88" t="inlineStr">
        <is>
          <t>hierro</t>
        </is>
      </c>
      <c r="J88" t="inlineStr">
        <is>
          <t>Hierro</t>
        </is>
      </c>
      <c r="K88" t="n">
        <v>0.1</v>
      </c>
      <c r="L88" t="inlineStr">
        <is>
          <t>&lt;</t>
        </is>
      </c>
      <c r="M88" t="n">
        <v>0.1</v>
      </c>
      <c r="N88" t="inlineStr">
        <is>
          <t>&lt;0,1</t>
        </is>
      </c>
      <c r="O88" t="inlineStr">
        <is>
          <t>mg/L Fe +3</t>
        </is>
      </c>
      <c r="P88" t="inlineStr">
        <is>
          <t>Fe total</t>
        </is>
      </c>
      <c r="Q88" t="inlineStr">
        <is>
          <t>SM 3111 B</t>
        </is>
      </c>
      <c r="R88" t="inlineStr">
        <is>
          <t>2026-08-28</t>
        </is>
      </c>
      <c r="S88" t="inlineStr">
        <is>
          <t>Laboratorio de Ingeniería Ambiental, Facultad de Ingeniería, UNAL Bogotá (LIA)</t>
        </is>
      </c>
      <c r="T88" t="inlineStr">
        <is>
          <t>40015</t>
        </is>
      </c>
      <c r="U88" t="inlineStr">
        <is>
          <t>PDF ANALISIS_40015.pdf (informe original)</t>
        </is>
      </c>
      <c r="V88" t="inlineStr">
        <is>
          <t>fecha_y_hora_de_muestreo_copiadas_de_39915;tipo_muestra_informe_superficial_pero_es_pozo</t>
        </is>
      </c>
    </row>
    <row r="89">
      <c r="A89" t="inlineStr">
        <is>
          <t>Leticia</t>
        </is>
      </c>
      <c r="B89" t="inlineStr">
        <is>
          <t>UN-LE-025</t>
        </is>
      </c>
      <c r="C89" t="inlineStr">
        <is>
          <t>Agua cruda, superficial, pozo Universidad Nacional Amazonia</t>
        </is>
      </c>
      <c r="D89" t="inlineStr">
        <is>
          <t>POZO_UN</t>
        </is>
      </c>
      <c r="E89" t="inlineStr">
        <is>
          <t>subterránea (pozo)</t>
        </is>
      </c>
      <c r="F89" t="inlineStr">
        <is>
          <t>2026-06-18</t>
        </is>
      </c>
      <c r="G89" t="inlineStr">
        <is>
          <t>2026-08-20</t>
        </is>
      </c>
      <c r="H89" t="inlineStr">
        <is>
          <t>2026-08</t>
        </is>
      </c>
      <c r="I89" t="inlineStr">
        <is>
          <t>manganeso</t>
        </is>
      </c>
      <c r="J89" t="inlineStr">
        <is>
          <t>Manganeso</t>
        </is>
      </c>
      <c r="K89" t="n">
        <v>0.05</v>
      </c>
      <c r="L89" t="inlineStr">
        <is>
          <t>&lt;</t>
        </is>
      </c>
      <c r="M89" t="n">
        <v>0.05</v>
      </c>
      <c r="N89" t="inlineStr">
        <is>
          <t>&lt;0,05</t>
        </is>
      </c>
      <c r="O89" t="inlineStr">
        <is>
          <t>mg/L Mn +7</t>
        </is>
      </c>
      <c r="P89" t="inlineStr">
        <is>
          <t>Mn total</t>
        </is>
      </c>
      <c r="Q89" t="inlineStr">
        <is>
          <t>SM 3111 B</t>
        </is>
      </c>
      <c r="R89" t="inlineStr">
        <is>
          <t>2026-08-28</t>
        </is>
      </c>
      <c r="S89" t="inlineStr">
        <is>
          <t>Laboratorio de Ingeniería Ambiental, Facultad de Ingeniería, UNAL Bogotá (LIA)</t>
        </is>
      </c>
      <c r="T89" t="inlineStr">
        <is>
          <t>40015</t>
        </is>
      </c>
      <c r="U89" t="inlineStr">
        <is>
          <t>PDF ANALISIS_40015.pdf (informe original)</t>
        </is>
      </c>
      <c r="V89" t="inlineStr">
        <is>
          <t>fecha_y_hora_de_muestreo_copiadas_de_39915;tipo_muestra_informe_superficial_pero_es_pozo</t>
        </is>
      </c>
    </row>
    <row r="90">
      <c r="A90" t="inlineStr">
        <is>
          <t>Leticia</t>
        </is>
      </c>
      <c r="B90" t="inlineStr">
        <is>
          <t>UN-LE-025</t>
        </is>
      </c>
      <c r="C90" t="inlineStr">
        <is>
          <t>Agua cruda, superficial, pozo Universidad Nacional Amazonia</t>
        </is>
      </c>
      <c r="D90" t="inlineStr">
        <is>
          <t>POZO_UN</t>
        </is>
      </c>
      <c r="E90" t="inlineStr">
        <is>
          <t>subterránea (pozo)</t>
        </is>
      </c>
      <c r="F90" t="inlineStr">
        <is>
          <t>2026-06-18</t>
        </is>
      </c>
      <c r="G90" t="inlineStr">
        <is>
          <t>2026-08-20</t>
        </is>
      </c>
      <c r="H90" t="inlineStr">
        <is>
          <t>2026-08</t>
        </is>
      </c>
      <c r="I90" t="inlineStr">
        <is>
          <t>cot</t>
        </is>
      </c>
      <c r="J90" t="inlineStr">
        <is>
          <t>Carbono Orgánico Total</t>
        </is>
      </c>
      <c r="K90" t="n">
        <v>1.55</v>
      </c>
      <c r="L90" t="inlineStr"/>
      <c r="N90" t="inlineStr">
        <is>
          <t>1,55</t>
        </is>
      </c>
      <c r="O90" t="inlineStr">
        <is>
          <t>mg/L C</t>
        </is>
      </c>
      <c r="P90" t="inlineStr">
        <is>
          <t>C</t>
        </is>
      </c>
      <c r="Q90" t="inlineStr">
        <is>
          <t>SM 5310 B</t>
        </is>
      </c>
      <c r="R90" t="inlineStr">
        <is>
          <t>2026-08-25</t>
        </is>
      </c>
      <c r="S90" t="inlineStr">
        <is>
          <t>Laboratorio de Ingeniería Ambiental, Facultad de Ingeniería, UNAL Bogotá (LIA)</t>
        </is>
      </c>
      <c r="T90" t="inlineStr">
        <is>
          <t>40015</t>
        </is>
      </c>
      <c r="U90" t="inlineStr">
        <is>
          <t>PDF ANALISIS_40015.pdf (informe original)</t>
        </is>
      </c>
      <c r="V90" t="inlineStr">
        <is>
          <t>fecha_y_hora_de_muestreo_copiadas_de_39915;tipo_muestra_informe_superficial_pero_es_pozo</t>
        </is>
      </c>
    </row>
    <row r="91">
      <c r="A91" t="inlineStr">
        <is>
          <t>Leticia</t>
        </is>
      </c>
      <c r="B91" t="inlineStr">
        <is>
          <t>UN-LE-025</t>
        </is>
      </c>
      <c r="C91" t="inlineStr">
        <is>
          <t>Agua cruda, superficial, pozo Universidad Nacional Amazonia</t>
        </is>
      </c>
      <c r="D91" t="inlineStr">
        <is>
          <t>POZO_UN</t>
        </is>
      </c>
      <c r="E91" t="inlineStr">
        <is>
          <t>subterránea (pozo)</t>
        </is>
      </c>
      <c r="F91" t="inlineStr">
        <is>
          <t>2026-06-18</t>
        </is>
      </c>
      <c r="G91" t="inlineStr">
        <is>
          <t>2026-08-20</t>
        </is>
      </c>
      <c r="H91" t="inlineStr">
        <is>
          <t>2026-08</t>
        </is>
      </c>
      <c r="I91" t="inlineStr">
        <is>
          <t>zinc</t>
        </is>
      </c>
      <c r="J91" t="inlineStr">
        <is>
          <t>Zinc</t>
        </is>
      </c>
      <c r="K91" t="n">
        <v>0.05</v>
      </c>
      <c r="L91" t="inlineStr">
        <is>
          <t>&lt;</t>
        </is>
      </c>
      <c r="M91" t="n">
        <v>0.05</v>
      </c>
      <c r="N91" t="inlineStr">
        <is>
          <t>&lt;0,05</t>
        </is>
      </c>
      <c r="O91" t="inlineStr">
        <is>
          <t>mg/L Zn</t>
        </is>
      </c>
      <c r="P91" t="inlineStr">
        <is>
          <t>Zn</t>
        </is>
      </c>
      <c r="Q91" t="inlineStr">
        <is>
          <t>SM 3111 B</t>
        </is>
      </c>
      <c r="R91" t="inlineStr">
        <is>
          <t>2026-08-27</t>
        </is>
      </c>
      <c r="S91" t="inlineStr">
        <is>
          <t>Laboratorio de Ingeniería Ambiental, Facultad de Ingeniería, UNAL Bogotá (LIA)</t>
        </is>
      </c>
      <c r="T91" t="inlineStr">
        <is>
          <t>40015</t>
        </is>
      </c>
      <c r="U91" t="inlineStr">
        <is>
          <t>PDF ANALISIS_40015.pdf (informe original)</t>
        </is>
      </c>
      <c r="V91" t="inlineStr">
        <is>
          <t>fecha_y_hora_de_muestreo_copiadas_de_39915;tipo_muestra_informe_superficial_pero_es_pozo</t>
        </is>
      </c>
    </row>
    <row r="92">
      <c r="A92" t="inlineStr">
        <is>
          <t>Leticia</t>
        </is>
      </c>
      <c r="B92" t="inlineStr">
        <is>
          <t>UN-LE-025</t>
        </is>
      </c>
      <c r="C92" t="inlineStr">
        <is>
          <t>Agua cruda, superficial, pozo Universidad Nacional Amazonia</t>
        </is>
      </c>
      <c r="D92" t="inlineStr">
        <is>
          <t>POZO_UN</t>
        </is>
      </c>
      <c r="E92" t="inlineStr">
        <is>
          <t>subterránea (pozo)</t>
        </is>
      </c>
      <c r="F92" t="inlineStr">
        <is>
          <t>2026-06-18</t>
        </is>
      </c>
      <c r="G92" t="inlineStr">
        <is>
          <t>2026-08-20</t>
        </is>
      </c>
      <c r="H92" t="inlineStr">
        <is>
          <t>2026-08</t>
        </is>
      </c>
      <c r="I92" t="inlineStr">
        <is>
          <t>fluoruros</t>
        </is>
      </c>
      <c r="J92" t="inlineStr">
        <is>
          <t>Fluoruros</t>
        </is>
      </c>
      <c r="K92" t="n">
        <v>0.02</v>
      </c>
      <c r="L92" t="inlineStr">
        <is>
          <t>&lt;</t>
        </is>
      </c>
      <c r="M92" t="n">
        <v>0.02</v>
      </c>
      <c r="N92" t="inlineStr">
        <is>
          <t>&lt;0,02</t>
        </is>
      </c>
      <c r="O92" t="inlineStr">
        <is>
          <t>mg/L F-</t>
        </is>
      </c>
      <c r="P92" t="inlineStr">
        <is>
          <t>F-</t>
        </is>
      </c>
      <c r="Q92" t="inlineStr">
        <is>
          <t>SM 4110 B</t>
        </is>
      </c>
      <c r="R92" t="inlineStr">
        <is>
          <t>2026-08-21</t>
        </is>
      </c>
      <c r="S92" t="inlineStr">
        <is>
          <t>Laboratorio de Ingeniería Ambiental, Facultad de Ingeniería, UNAL Bogotá (LIA)</t>
        </is>
      </c>
      <c r="T92" t="inlineStr">
        <is>
          <t>40015</t>
        </is>
      </c>
      <c r="U92" t="inlineStr">
        <is>
          <t>PDF ANALISIS_40015.pdf (informe original)</t>
        </is>
      </c>
      <c r="V92" t="inlineStr">
        <is>
          <t>fecha_y_hora_de_muestreo_copiadas_de_39915;tipo_muestra_informe_superficial_pero_es_pozo</t>
        </is>
      </c>
    </row>
    <row r="93">
      <c r="A93" t="inlineStr">
        <is>
          <t>Leticia</t>
        </is>
      </c>
      <c r="B93" t="inlineStr">
        <is>
          <t>UN-LE-025</t>
        </is>
      </c>
      <c r="C93" t="inlineStr">
        <is>
          <t>Agua cruda, superficial, pozo Universidad Nacional Amazonia</t>
        </is>
      </c>
      <c r="D93" t="inlineStr">
        <is>
          <t>POZO_UN</t>
        </is>
      </c>
      <c r="E93" t="inlineStr">
        <is>
          <t>subterránea (pozo)</t>
        </is>
      </c>
      <c r="F93" t="inlineStr">
        <is>
          <t>2026-06-18</t>
        </is>
      </c>
      <c r="G93" t="inlineStr">
        <is>
          <t>2026-08-20</t>
        </is>
      </c>
      <c r="H93" t="inlineStr">
        <is>
          <t>2026-08</t>
        </is>
      </c>
      <c r="I93" t="inlineStr">
        <is>
          <t>nitritos_n</t>
        </is>
      </c>
      <c r="J93" t="inlineStr">
        <is>
          <t>Nitritos</t>
        </is>
      </c>
      <c r="K93" t="n">
        <v>0.1</v>
      </c>
      <c r="L93" t="inlineStr">
        <is>
          <t>&lt;</t>
        </is>
      </c>
      <c r="M93" t="n">
        <v>0.1</v>
      </c>
      <c r="N93" t="inlineStr">
        <is>
          <t>&lt;0,1</t>
        </is>
      </c>
      <c r="O93" t="inlineStr">
        <is>
          <t>mg/L N-NO2-</t>
        </is>
      </c>
      <c r="P93" t="inlineStr">
        <is>
          <t>N (de NO2-)</t>
        </is>
      </c>
      <c r="Q93" t="inlineStr">
        <is>
          <t>SM 4110 B</t>
        </is>
      </c>
      <c r="R93" t="inlineStr">
        <is>
          <t>2026-08-21</t>
        </is>
      </c>
      <c r="S93" t="inlineStr">
        <is>
          <t>Laboratorio de Ingeniería Ambiental, Facultad de Ingeniería, UNAL Bogotá (LIA)</t>
        </is>
      </c>
      <c r="T93" t="inlineStr">
        <is>
          <t>40015</t>
        </is>
      </c>
      <c r="U93" t="inlineStr">
        <is>
          <t>PDF ANALISIS_40015.pdf (informe original)</t>
        </is>
      </c>
      <c r="V93" t="inlineStr">
        <is>
          <t>fecha_y_hora_de_muestreo_copiadas_de_39915;tipo_muestra_informe_superficial_pero_es_pozo</t>
        </is>
      </c>
    </row>
    <row r="94">
      <c r="A94" t="inlineStr">
        <is>
          <t>Leticia</t>
        </is>
      </c>
      <c r="B94" t="inlineStr">
        <is>
          <t>UN-LE-025</t>
        </is>
      </c>
      <c r="C94" t="inlineStr">
        <is>
          <t>Agua cruda, superficial, pozo Universidad Nacional Amazonia</t>
        </is>
      </c>
      <c r="D94" t="inlineStr">
        <is>
          <t>POZO_UN</t>
        </is>
      </c>
      <c r="E94" t="inlineStr">
        <is>
          <t>subterránea (pozo)</t>
        </is>
      </c>
      <c r="F94" t="inlineStr">
        <is>
          <t>2026-06-18</t>
        </is>
      </c>
      <c r="G94" t="inlineStr">
        <is>
          <t>2026-08-20</t>
        </is>
      </c>
      <c r="H94" t="inlineStr">
        <is>
          <t>2026-08</t>
        </is>
      </c>
      <c r="I94" t="inlineStr">
        <is>
          <t>nitratos_n</t>
        </is>
      </c>
      <c r="J94" t="inlineStr">
        <is>
          <t>Nitratos</t>
        </is>
      </c>
      <c r="K94" t="n">
        <v>0.5</v>
      </c>
      <c r="L94" t="inlineStr"/>
      <c r="N94" t="inlineStr">
        <is>
          <t>0,5</t>
        </is>
      </c>
      <c r="O94" t="inlineStr">
        <is>
          <t>mg/L N-NO3-</t>
        </is>
      </c>
      <c r="P94" t="inlineStr">
        <is>
          <t>N (de NO3-)</t>
        </is>
      </c>
      <c r="Q94" t="inlineStr">
        <is>
          <t>SM 4110 B</t>
        </is>
      </c>
      <c r="R94" t="inlineStr">
        <is>
          <t>2026-08-21</t>
        </is>
      </c>
      <c r="S94" t="inlineStr">
        <is>
          <t>Laboratorio de Ingeniería Ambiental, Facultad de Ingeniería, UNAL Bogotá (LIA)</t>
        </is>
      </c>
      <c r="T94" t="inlineStr">
        <is>
          <t>40015</t>
        </is>
      </c>
      <c r="U94" t="inlineStr">
        <is>
          <t>PDF ANALISIS_40015.pdf (informe original)</t>
        </is>
      </c>
      <c r="V94" t="inlineStr">
        <is>
          <t>fecha_y_hora_de_muestreo_copiadas_de_39915;tipo_muestra_informe_superficial_pero_es_pozo</t>
        </is>
      </c>
    </row>
    <row r="95">
      <c r="A95" t="inlineStr">
        <is>
          <t>Leticia</t>
        </is>
      </c>
      <c r="B95" t="inlineStr">
        <is>
          <t>UN-LE-025</t>
        </is>
      </c>
      <c r="C95" t="inlineStr">
        <is>
          <t>Agua cruda, superficial, pozo Universidad Nacional Amazonia</t>
        </is>
      </c>
      <c r="D95" t="inlineStr">
        <is>
          <t>POZO_UN</t>
        </is>
      </c>
      <c r="E95" t="inlineStr">
        <is>
          <t>subterránea (pozo)</t>
        </is>
      </c>
      <c r="F95" t="inlineStr">
        <is>
          <t>2026-06-18</t>
        </is>
      </c>
      <c r="G95" t="inlineStr">
        <is>
          <t>2026-08-20</t>
        </is>
      </c>
      <c r="H95" t="inlineStr">
        <is>
          <t>2026-08</t>
        </is>
      </c>
      <c r="I95" t="inlineStr">
        <is>
          <t>cloruros</t>
        </is>
      </c>
      <c r="J95" t="inlineStr">
        <is>
          <t>Cloruros</t>
        </is>
      </c>
      <c r="K95" t="n">
        <v>0.2</v>
      </c>
      <c r="L95" t="inlineStr"/>
      <c r="N95" t="inlineStr">
        <is>
          <t>0,2</t>
        </is>
      </c>
      <c r="O95" t="inlineStr">
        <is>
          <t>mg/L Cl-</t>
        </is>
      </c>
      <c r="P95" t="inlineStr">
        <is>
          <t>Cl-</t>
        </is>
      </c>
      <c r="Q95" t="inlineStr">
        <is>
          <t>SM 4110 B</t>
        </is>
      </c>
      <c r="R95" t="inlineStr">
        <is>
          <t>2026-08-21</t>
        </is>
      </c>
      <c r="S95" t="inlineStr">
        <is>
          <t>Laboratorio de Ingeniería Ambiental, Facultad de Ingeniería, UNAL Bogotá (LIA)</t>
        </is>
      </c>
      <c r="T95" t="inlineStr">
        <is>
          <t>40015</t>
        </is>
      </c>
      <c r="U95" t="inlineStr">
        <is>
          <t>PDF ANALISIS_40015.pdf (informe original)</t>
        </is>
      </c>
      <c r="V95" t="inlineStr">
        <is>
          <t>fecha_y_hora_de_muestreo_copiadas_de_39915;tipo_muestra_informe_superficial_pero_es_pozo</t>
        </is>
      </c>
    </row>
    <row r="96">
      <c r="A96" t="inlineStr">
        <is>
          <t>Leticia</t>
        </is>
      </c>
      <c r="B96" t="inlineStr">
        <is>
          <t>UN-LE-025</t>
        </is>
      </c>
      <c r="C96" t="inlineStr">
        <is>
          <t>Agua cruda, superficial, pozo Universidad Nacional Amazonia</t>
        </is>
      </c>
      <c r="D96" t="inlineStr">
        <is>
          <t>POZO_UN</t>
        </is>
      </c>
      <c r="E96" t="inlineStr">
        <is>
          <t>subterránea (pozo)</t>
        </is>
      </c>
      <c r="F96" t="inlineStr">
        <is>
          <t>2026-06-18</t>
        </is>
      </c>
      <c r="G96" t="inlineStr">
        <is>
          <t>2026-08-20</t>
        </is>
      </c>
      <c r="H96" t="inlineStr">
        <is>
          <t>2026-08</t>
        </is>
      </c>
      <c r="I96" t="inlineStr">
        <is>
          <t>sulfatos</t>
        </is>
      </c>
      <c r="J96" t="inlineStr">
        <is>
          <t>Sulfatos</t>
        </is>
      </c>
      <c r="K96" t="n">
        <v>0.2</v>
      </c>
      <c r="L96" t="inlineStr"/>
      <c r="N96" t="inlineStr">
        <is>
          <t>0,2</t>
        </is>
      </c>
      <c r="O96" t="inlineStr">
        <is>
          <t>mg/L SO4=</t>
        </is>
      </c>
      <c r="P96" t="inlineStr">
        <is>
          <t>SO4 2-</t>
        </is>
      </c>
      <c r="Q96" t="inlineStr">
        <is>
          <t>SM 4110 B</t>
        </is>
      </c>
      <c r="R96" t="inlineStr">
        <is>
          <t>2026-08-21</t>
        </is>
      </c>
      <c r="S96" t="inlineStr">
        <is>
          <t>Laboratorio de Ingeniería Ambiental, Facultad de Ingeniería, UNAL Bogotá (LIA)</t>
        </is>
      </c>
      <c r="T96" t="inlineStr">
        <is>
          <t>40015</t>
        </is>
      </c>
      <c r="U96" t="inlineStr">
        <is>
          <t>PDF ANALISIS_40015.pdf (informe original)</t>
        </is>
      </c>
      <c r="V96" t="inlineStr">
        <is>
          <t>fecha_y_hora_de_muestreo_copiadas_de_39915;tipo_muestra_informe_superficial_pero_es_pozo</t>
        </is>
      </c>
    </row>
    <row r="97">
      <c r="A97" t="inlineStr">
        <is>
          <t>Leticia</t>
        </is>
      </c>
      <c r="B97" t="inlineStr">
        <is>
          <t>UN-LE-025</t>
        </is>
      </c>
      <c r="C97" t="inlineStr">
        <is>
          <t>Agua cruda, superficial, pozo Universidad Nacional Amazonia</t>
        </is>
      </c>
      <c r="D97" t="inlineStr">
        <is>
          <t>POZO_UN</t>
        </is>
      </c>
      <c r="E97" t="inlineStr">
        <is>
          <t>subterránea (pozo)</t>
        </is>
      </c>
      <c r="F97" t="inlineStr">
        <is>
          <t>2026-06-18</t>
        </is>
      </c>
      <c r="G97" t="inlineStr">
        <is>
          <t>2026-08-20</t>
        </is>
      </c>
      <c r="H97" t="inlineStr">
        <is>
          <t>2026-08</t>
        </is>
      </c>
      <c r="I97" t="inlineStr">
        <is>
          <t>ortofosfatos</t>
        </is>
      </c>
      <c r="J97" t="inlineStr">
        <is>
          <t>Ortofosfatos</t>
        </is>
      </c>
      <c r="K97" t="n">
        <v>0.2</v>
      </c>
      <c r="L97" t="inlineStr"/>
      <c r="N97" t="inlineStr">
        <is>
          <t>0,2</t>
        </is>
      </c>
      <c r="O97" t="inlineStr">
        <is>
          <t>mg/L PO4-3</t>
        </is>
      </c>
      <c r="P97" t="inlineStr">
        <is>
          <t>PO4 3-</t>
        </is>
      </c>
      <c r="Q97" t="inlineStr">
        <is>
          <t>SM 4110 B</t>
        </is>
      </c>
      <c r="R97" t="inlineStr">
        <is>
          <t>2026-08-21</t>
        </is>
      </c>
      <c r="S97" t="inlineStr">
        <is>
          <t>Laboratorio de Ingeniería Ambiental, Facultad de Ingeniería, UNAL Bogotá (LIA)</t>
        </is>
      </c>
      <c r="T97" t="inlineStr">
        <is>
          <t>40015</t>
        </is>
      </c>
      <c r="U97" t="inlineStr">
        <is>
          <t>PDF ANALISIS_40015.pdf (informe original)</t>
        </is>
      </c>
      <c r="V97" t="inlineStr">
        <is>
          <t>fecha_y_hora_de_muestreo_copiadas_de_39915;tipo_muestra_informe_superficial_pero_es_pozo</t>
        </is>
      </c>
    </row>
    <row r="98">
      <c r="A98" t="inlineStr">
        <is>
          <t>Leticia</t>
        </is>
      </c>
      <c r="B98" t="inlineStr">
        <is>
          <t>UN-LE-025</t>
        </is>
      </c>
      <c r="C98" t="inlineStr">
        <is>
          <t>Agua cruda, superficial, pozo Universidad Nacional Amazonia</t>
        </is>
      </c>
      <c r="D98" t="inlineStr">
        <is>
          <t>POZO_UN</t>
        </is>
      </c>
      <c r="E98" t="inlineStr">
        <is>
          <t>subterránea (pozo)</t>
        </is>
      </c>
      <c r="F98" t="inlineStr">
        <is>
          <t>2026-06-18</t>
        </is>
      </c>
      <c r="G98" t="inlineStr">
        <is>
          <t>2026-08-20</t>
        </is>
      </c>
      <c r="H98" t="inlineStr">
        <is>
          <t>2026-08</t>
        </is>
      </c>
      <c r="I98" t="inlineStr">
        <is>
          <t>solidos_totales</t>
        </is>
      </c>
      <c r="J98" t="inlineStr">
        <is>
          <t>Sólidos Totales</t>
        </is>
      </c>
      <c r="K98" t="n">
        <v>36</v>
      </c>
      <c r="L98" t="inlineStr"/>
      <c r="N98" t="inlineStr">
        <is>
          <t>36</t>
        </is>
      </c>
      <c r="O98" t="inlineStr">
        <is>
          <t>mg/L</t>
        </is>
      </c>
      <c r="P98" t="inlineStr">
        <is>
          <t>residuo a 103–105 °C</t>
        </is>
      </c>
      <c r="Q98" t="inlineStr">
        <is>
          <t>SM 2540 B</t>
        </is>
      </c>
      <c r="R98" t="inlineStr">
        <is>
          <t>2026-08-24</t>
        </is>
      </c>
      <c r="S98" t="inlineStr">
        <is>
          <t>Laboratorio de Ingeniería Ambiental, Facultad de Ingeniería, UNAL Bogotá (LIA)</t>
        </is>
      </c>
      <c r="T98" t="inlineStr">
        <is>
          <t>40015</t>
        </is>
      </c>
      <c r="U98" t="inlineStr">
        <is>
          <t>PDF ANALISIS_40015.pdf (informe original)</t>
        </is>
      </c>
      <c r="V98" t="inlineStr">
        <is>
          <t>fecha_y_hora_de_muestreo_copiadas_de_39915;tipo_muestra_informe_superficial_pero_es_pozo</t>
        </is>
      </c>
    </row>
    <row r="99">
      <c r="A99" t="inlineStr">
        <is>
          <t>Leticia</t>
        </is>
      </c>
      <c r="B99" t="inlineStr">
        <is>
          <t>UN-LE-025</t>
        </is>
      </c>
      <c r="C99" t="inlineStr">
        <is>
          <t>Agua cruda, superficial, pozo Universidad Nacional Amazonia</t>
        </is>
      </c>
      <c r="D99" t="inlineStr">
        <is>
          <t>POZO_UN</t>
        </is>
      </c>
      <c r="E99" t="inlineStr">
        <is>
          <t>subterránea (pozo)</t>
        </is>
      </c>
      <c r="F99" t="inlineStr">
        <is>
          <t>2026-06-18</t>
        </is>
      </c>
      <c r="G99" t="inlineStr">
        <is>
          <t>2026-08-20</t>
        </is>
      </c>
      <c r="H99" t="inlineStr">
        <is>
          <t>2026-08</t>
        </is>
      </c>
      <c r="I99" t="inlineStr">
        <is>
          <t>sst</t>
        </is>
      </c>
      <c r="J99" t="inlineStr">
        <is>
          <t>Sólidos Suspendidos Totales</t>
        </is>
      </c>
      <c r="K99" t="n">
        <v>5</v>
      </c>
      <c r="L99" t="inlineStr">
        <is>
          <t>&lt;</t>
        </is>
      </c>
      <c r="M99" t="n">
        <v>5</v>
      </c>
      <c r="N99" t="inlineStr">
        <is>
          <t>&lt;5</t>
        </is>
      </c>
      <c r="O99" t="inlineStr">
        <is>
          <t>mg/L</t>
        </is>
      </c>
      <c r="P99" t="inlineStr">
        <is>
          <t>retenidos en filtro</t>
        </is>
      </c>
      <c r="Q99" t="inlineStr">
        <is>
          <t>SM 2540 D</t>
        </is>
      </c>
      <c r="R99" t="inlineStr">
        <is>
          <t>2026-08-28</t>
        </is>
      </c>
      <c r="S99" t="inlineStr">
        <is>
          <t>Laboratorio de Ingeniería Ambiental, Facultad de Ingeniería, UNAL Bogotá (LIA)</t>
        </is>
      </c>
      <c r="T99" t="inlineStr">
        <is>
          <t>40015</t>
        </is>
      </c>
      <c r="U99" t="inlineStr">
        <is>
          <t>PDF ANALISIS_40015.pdf (informe original)</t>
        </is>
      </c>
      <c r="V99" t="inlineStr">
        <is>
          <t>fecha_y_hora_de_muestreo_copiadas_de_39915;tipo_muestra_informe_superficial_pero_es_pozo</t>
        </is>
      </c>
    </row>
    <row r="100">
      <c r="A100" t="inlineStr">
        <is>
          <t>Leticia</t>
        </is>
      </c>
      <c r="B100" t="inlineStr">
        <is>
          <t>UN-LE-025</t>
        </is>
      </c>
      <c r="C100" t="inlineStr">
        <is>
          <t>Agua cruda, superficial, pozo Universidad Nacional Amazonia</t>
        </is>
      </c>
      <c r="D100" t="inlineStr">
        <is>
          <t>POZO_UN</t>
        </is>
      </c>
      <c r="E100" t="inlineStr">
        <is>
          <t>subterránea (pozo)</t>
        </is>
      </c>
      <c r="F100" t="inlineStr">
        <is>
          <t>2026-06-18</t>
        </is>
      </c>
      <c r="G100" t="inlineStr">
        <is>
          <t>2026-08-20</t>
        </is>
      </c>
      <c r="H100" t="inlineStr">
        <is>
          <t>2026-08</t>
        </is>
      </c>
      <c r="I100" t="inlineStr">
        <is>
          <t>coliformes_totales</t>
        </is>
      </c>
      <c r="J100" t="inlineStr">
        <is>
          <t>Coliformes totales</t>
        </is>
      </c>
      <c r="K100" t="n">
        <v>580</v>
      </c>
      <c r="L100" t="inlineStr"/>
      <c r="N100" t="inlineStr">
        <is>
          <t>5,8 x 102</t>
        </is>
      </c>
      <c r="O100" t="inlineStr">
        <is>
          <t>NMP/100 mL</t>
        </is>
      </c>
      <c r="P100" t="inlineStr">
        <is>
          <t>NMP</t>
        </is>
      </c>
      <c r="Q100" t="inlineStr">
        <is>
          <t>SM 9221 C</t>
        </is>
      </c>
      <c r="R100" t="inlineStr">
        <is>
          <t>2026-08-21</t>
        </is>
      </c>
      <c r="S100" t="inlineStr">
        <is>
          <t>Laboratorio de Ingeniería Ambiental, Facultad de Ingeniería, UNAL Bogotá (LIA)</t>
        </is>
      </c>
      <c r="T100" t="inlineStr">
        <is>
          <t>40015</t>
        </is>
      </c>
      <c r="U100" t="inlineStr">
        <is>
          <t>PDF ANALISIS_40015.pdf (informe original)</t>
        </is>
      </c>
      <c r="V100" t="inlineStr">
        <is>
          <t>fecha_y_hora_de_muestreo_copiadas_de_39915;tipo_muestra_informe_superficial_pero_es_pozo</t>
        </is>
      </c>
    </row>
    <row r="101">
      <c r="A101" t="inlineStr">
        <is>
          <t>Leticia</t>
        </is>
      </c>
      <c r="B101" t="inlineStr">
        <is>
          <t>UN-LE-025</t>
        </is>
      </c>
      <c r="C101" t="inlineStr">
        <is>
          <t>Agua cruda, superficial, pozo Universidad Nacional Amazonia</t>
        </is>
      </c>
      <c r="D101" t="inlineStr">
        <is>
          <t>POZO_UN</t>
        </is>
      </c>
      <c r="E101" t="inlineStr">
        <is>
          <t>subterránea (pozo)</t>
        </is>
      </c>
      <c r="F101" t="inlineStr">
        <is>
          <t>2026-06-18</t>
        </is>
      </c>
      <c r="G101" t="inlineStr">
        <is>
          <t>2026-08-20</t>
        </is>
      </c>
      <c r="H101" t="inlineStr">
        <is>
          <t>2026-08</t>
        </is>
      </c>
      <c r="I101" t="inlineStr">
        <is>
          <t>e_coli</t>
        </is>
      </c>
      <c r="J101" t="inlineStr">
        <is>
          <t>E. coli</t>
        </is>
      </c>
      <c r="K101" t="n">
        <v>20</v>
      </c>
      <c r="L101" t="inlineStr"/>
      <c r="N101" t="inlineStr">
        <is>
          <t>20</t>
        </is>
      </c>
      <c r="O101" t="inlineStr">
        <is>
          <t>NMP/100 mL</t>
        </is>
      </c>
      <c r="P101" t="inlineStr">
        <is>
          <t>NMP</t>
        </is>
      </c>
      <c r="Q101" t="inlineStr">
        <is>
          <t>SM 9221 C</t>
        </is>
      </c>
      <c r="R101" t="inlineStr">
        <is>
          <t>2026-08-21</t>
        </is>
      </c>
      <c r="S101" t="inlineStr">
        <is>
          <t>Laboratorio de Ingeniería Ambiental, Facultad de Ingeniería, UNAL Bogotá (LIA)</t>
        </is>
      </c>
      <c r="T101" t="inlineStr">
        <is>
          <t>40015</t>
        </is>
      </c>
      <c r="U101" t="inlineStr">
        <is>
          <t>PDF ANALISIS_40015.pdf (informe original)</t>
        </is>
      </c>
      <c r="V101" t="inlineStr">
        <is>
          <t>fecha_y_hora_de_muestreo_copiadas_de_39915;tipo_muestra_informe_superficial_pero_es_pozo</t>
        </is>
      </c>
    </row>
    <row r="102">
      <c r="A102" t="inlineStr">
        <is>
          <t>Leticia</t>
        </is>
      </c>
      <c r="B102" t="inlineStr">
        <is>
          <t>UN-LE-036</t>
        </is>
      </c>
      <c r="C102" t="inlineStr">
        <is>
          <t>Agua cruda, subterránea, pozo casa profe, Universidad Nacional Amazonia</t>
        </is>
      </c>
      <c r="D102" t="inlineStr">
        <is>
          <t>POZO_PROFE</t>
        </is>
      </c>
      <c r="E102" t="inlineStr">
        <is>
          <t>subterránea (pozo)</t>
        </is>
      </c>
      <c r="F102" t="inlineStr">
        <is>
          <t>2026-08-20</t>
        </is>
      </c>
      <c r="G102" t="inlineStr">
        <is>
          <t>2026-08-20</t>
        </is>
      </c>
      <c r="H102" t="inlineStr">
        <is>
          <t>2026-08</t>
        </is>
      </c>
      <c r="I102" t="inlineStr">
        <is>
          <t>turbiedad</t>
        </is>
      </c>
      <c r="J102" t="inlineStr">
        <is>
          <t>Turbiedad</t>
        </is>
      </c>
      <c r="K102" t="n">
        <v>0.77</v>
      </c>
      <c r="L102" t="inlineStr"/>
      <c r="N102" t="inlineStr">
        <is>
          <t>0,77</t>
        </is>
      </c>
      <c r="O102" t="inlineStr">
        <is>
          <t>UNT</t>
        </is>
      </c>
      <c r="P102" t="inlineStr">
        <is>
          <t>turbiedad nefelométrica</t>
        </is>
      </c>
      <c r="Q102" t="inlineStr">
        <is>
          <t>SM 2130 B</t>
        </is>
      </c>
      <c r="R102" t="inlineStr">
        <is>
          <t>2026-08-21</t>
        </is>
      </c>
      <c r="S102" t="inlineStr">
        <is>
          <t>Laboratorio de Ingeniería Ambiental, Facultad de Ingeniería, UNAL Bogotá (LIA)</t>
        </is>
      </c>
      <c r="T102" t="inlineStr">
        <is>
          <t>40016</t>
        </is>
      </c>
      <c r="U102" t="inlineStr">
        <is>
          <t>PDF ANALISIS_40016.pdf (informe original)</t>
        </is>
      </c>
      <c r="V102" t="inlineStr">
        <is>
          <t>grupo_punto_por_nombre</t>
        </is>
      </c>
    </row>
    <row r="103">
      <c r="A103" t="inlineStr">
        <is>
          <t>Leticia</t>
        </is>
      </c>
      <c r="B103" t="inlineStr">
        <is>
          <t>UN-LE-036</t>
        </is>
      </c>
      <c r="C103" t="inlineStr">
        <is>
          <t>Agua cruda, subterránea, pozo casa profe, Universidad Nacional Amazonia</t>
        </is>
      </c>
      <c r="D103" t="inlineStr">
        <is>
          <t>POZO_PROFE</t>
        </is>
      </c>
      <c r="E103" t="inlineStr">
        <is>
          <t>subterránea (pozo)</t>
        </is>
      </c>
      <c r="F103" t="inlineStr">
        <is>
          <t>2026-08-20</t>
        </is>
      </c>
      <c r="G103" t="inlineStr">
        <is>
          <t>2026-08-20</t>
        </is>
      </c>
      <c r="H103" t="inlineStr">
        <is>
          <t>2026-08</t>
        </is>
      </c>
      <c r="I103" t="inlineStr">
        <is>
          <t>color_aparente</t>
        </is>
      </c>
      <c r="J103" t="inlineStr">
        <is>
          <t>Color Aparente</t>
        </is>
      </c>
      <c r="K103" t="n">
        <v>8</v>
      </c>
      <c r="L103" t="inlineStr"/>
      <c r="N103" t="inlineStr">
        <is>
          <t>8</t>
        </is>
      </c>
      <c r="O103" t="inlineStr">
        <is>
          <t>UPC</t>
        </is>
      </c>
      <c r="P103" t="inlineStr">
        <is>
          <t>Pt-Co, sin filtrar</t>
        </is>
      </c>
      <c r="Q103" t="inlineStr">
        <is>
          <t>SM 2120 B</t>
        </is>
      </c>
      <c r="R103" t="inlineStr">
        <is>
          <t>2026-08-21</t>
        </is>
      </c>
      <c r="S103" t="inlineStr">
        <is>
          <t>Laboratorio de Ingeniería Ambiental, Facultad de Ingeniería, UNAL Bogotá (LIA)</t>
        </is>
      </c>
      <c r="T103" t="inlineStr">
        <is>
          <t>40016</t>
        </is>
      </c>
      <c r="U103" t="inlineStr">
        <is>
          <t>PDF ANALISIS_40016.pdf (informe original)</t>
        </is>
      </c>
      <c r="V103" t="inlineStr">
        <is>
          <t>grupo_punto_por_nombre</t>
        </is>
      </c>
    </row>
    <row r="104">
      <c r="A104" t="inlineStr">
        <is>
          <t>Leticia</t>
        </is>
      </c>
      <c r="B104" t="inlineStr">
        <is>
          <t>UN-LE-036</t>
        </is>
      </c>
      <c r="C104" t="inlineStr">
        <is>
          <t>Agua cruda, subterránea, pozo casa profe, Universidad Nacional Amazonia</t>
        </is>
      </c>
      <c r="D104" t="inlineStr">
        <is>
          <t>POZO_PROFE</t>
        </is>
      </c>
      <c r="E104" t="inlineStr">
        <is>
          <t>subterránea (pozo)</t>
        </is>
      </c>
      <c r="F104" t="inlineStr">
        <is>
          <t>2026-08-20</t>
        </is>
      </c>
      <c r="G104" t="inlineStr">
        <is>
          <t>2026-08-20</t>
        </is>
      </c>
      <c r="H104" t="inlineStr">
        <is>
          <t>2026-08</t>
        </is>
      </c>
      <c r="I104" t="inlineStr">
        <is>
          <t>ph</t>
        </is>
      </c>
      <c r="J104" t="inlineStr">
        <is>
          <t>pH</t>
        </is>
      </c>
      <c r="K104" t="n">
        <v>5.47</v>
      </c>
      <c r="L104" t="inlineStr"/>
      <c r="N104" t="inlineStr">
        <is>
          <t>5,47</t>
        </is>
      </c>
      <c r="O104" t="inlineStr">
        <is>
          <t>Unidades</t>
        </is>
      </c>
      <c r="P104" t="inlineStr">
        <is>
          <t>pH</t>
        </is>
      </c>
      <c r="Q104" t="inlineStr">
        <is>
          <t>SM 4500 H+B</t>
        </is>
      </c>
      <c r="R104" t="inlineStr">
        <is>
          <t>2026-08-21</t>
        </is>
      </c>
      <c r="S104" t="inlineStr">
        <is>
          <t>Laboratorio de Ingeniería Ambiental, Facultad de Ingeniería, UNAL Bogotá (LIA)</t>
        </is>
      </c>
      <c r="T104" t="inlineStr">
        <is>
          <t>40016</t>
        </is>
      </c>
      <c r="U104" t="inlineStr">
        <is>
          <t>PDF ANALISIS_40016.pdf (informe original)</t>
        </is>
      </c>
      <c r="V104" t="inlineStr">
        <is>
          <t>grupo_punto_por_nombre</t>
        </is>
      </c>
    </row>
    <row r="105">
      <c r="A105" t="inlineStr">
        <is>
          <t>Leticia</t>
        </is>
      </c>
      <c r="B105" t="inlineStr">
        <is>
          <t>UN-LE-036</t>
        </is>
      </c>
      <c r="C105" t="inlineStr">
        <is>
          <t>Agua cruda, subterránea, pozo casa profe, Universidad Nacional Amazonia</t>
        </is>
      </c>
      <c r="D105" t="inlineStr">
        <is>
          <t>POZO_PROFE</t>
        </is>
      </c>
      <c r="E105" t="inlineStr">
        <is>
          <t>subterránea (pozo)</t>
        </is>
      </c>
      <c r="F105" t="inlineStr">
        <is>
          <t>2026-08-20</t>
        </is>
      </c>
      <c r="G105" t="inlineStr">
        <is>
          <t>2026-08-20</t>
        </is>
      </c>
      <c r="H105" t="inlineStr">
        <is>
          <t>2026-08</t>
        </is>
      </c>
      <c r="I105" t="inlineStr">
        <is>
          <t>conductividad</t>
        </is>
      </c>
      <c r="J105" t="inlineStr">
        <is>
          <t>Conductividad Específica</t>
        </is>
      </c>
      <c r="K105" t="n">
        <v>15.9</v>
      </c>
      <c r="L105" t="inlineStr"/>
      <c r="N105" t="inlineStr">
        <is>
          <t>15,9</t>
        </is>
      </c>
      <c r="O105" t="inlineStr">
        <is>
          <t>µS/cm 25 °C</t>
        </is>
      </c>
      <c r="P105" t="inlineStr">
        <is>
          <t>CE a 25 °C</t>
        </is>
      </c>
      <c r="Q105" t="inlineStr">
        <is>
          <t>SM 2510 B</t>
        </is>
      </c>
      <c r="R105" t="inlineStr">
        <is>
          <t>2026-08-21</t>
        </is>
      </c>
      <c r="S105" t="inlineStr">
        <is>
          <t>Laboratorio de Ingeniería Ambiental, Facultad de Ingeniería, UNAL Bogotá (LIA)</t>
        </is>
      </c>
      <c r="T105" t="inlineStr">
        <is>
          <t>40016</t>
        </is>
      </c>
      <c r="U105" t="inlineStr">
        <is>
          <t>PDF ANALISIS_40016.pdf (informe original)</t>
        </is>
      </c>
      <c r="V105" t="inlineStr">
        <is>
          <t>grupo_punto_por_nombre</t>
        </is>
      </c>
    </row>
    <row r="106">
      <c r="A106" t="inlineStr">
        <is>
          <t>Leticia</t>
        </is>
      </c>
      <c r="B106" t="inlineStr">
        <is>
          <t>UN-LE-036</t>
        </is>
      </c>
      <c r="C106" t="inlineStr">
        <is>
          <t>Agua cruda, subterránea, pozo casa profe, Universidad Nacional Amazonia</t>
        </is>
      </c>
      <c r="D106" t="inlineStr">
        <is>
          <t>POZO_PROFE</t>
        </is>
      </c>
      <c r="E106" t="inlineStr">
        <is>
          <t>subterránea (pozo)</t>
        </is>
      </c>
      <c r="F106" t="inlineStr">
        <is>
          <t>2026-08-20</t>
        </is>
      </c>
      <c r="G106" t="inlineStr">
        <is>
          <t>2026-08-20</t>
        </is>
      </c>
      <c r="H106" t="inlineStr">
        <is>
          <t>2026-08</t>
        </is>
      </c>
      <c r="I106" t="inlineStr">
        <is>
          <t>alcalinidad</t>
        </is>
      </c>
      <c r="J106" t="inlineStr">
        <is>
          <t>Alcalinidad total</t>
        </is>
      </c>
      <c r="K106" t="n">
        <v>10</v>
      </c>
      <c r="L106" t="inlineStr"/>
      <c r="N106" t="inlineStr">
        <is>
          <t>10</t>
        </is>
      </c>
      <c r="O106" t="inlineStr">
        <is>
          <t>mg/L CaCO3</t>
        </is>
      </c>
      <c r="P106" t="inlineStr">
        <is>
          <t>CaCO3</t>
        </is>
      </c>
      <c r="Q106" t="inlineStr">
        <is>
          <t>SM 2320 (Indicador)</t>
        </is>
      </c>
      <c r="R106" t="inlineStr">
        <is>
          <t>2026-08-21</t>
        </is>
      </c>
      <c r="S106" t="inlineStr">
        <is>
          <t>Laboratorio de Ingeniería Ambiental, Facultad de Ingeniería, UNAL Bogotá (LIA)</t>
        </is>
      </c>
      <c r="T106" t="inlineStr">
        <is>
          <t>40016</t>
        </is>
      </c>
      <c r="U106" t="inlineStr">
        <is>
          <t>PDF ANALISIS_40016.pdf (informe original)</t>
        </is>
      </c>
      <c r="V106" t="inlineStr">
        <is>
          <t>grupo_punto_por_nombre</t>
        </is>
      </c>
    </row>
    <row r="107">
      <c r="A107" t="inlineStr">
        <is>
          <t>Leticia</t>
        </is>
      </c>
      <c r="B107" t="inlineStr">
        <is>
          <t>UN-LE-036</t>
        </is>
      </c>
      <c r="C107" t="inlineStr">
        <is>
          <t>Agua cruda, subterránea, pozo casa profe, Universidad Nacional Amazonia</t>
        </is>
      </c>
      <c r="D107" t="inlineStr">
        <is>
          <t>POZO_PROFE</t>
        </is>
      </c>
      <c r="E107" t="inlineStr">
        <is>
          <t>subterránea (pozo)</t>
        </is>
      </c>
      <c r="F107" t="inlineStr">
        <is>
          <t>2026-08-20</t>
        </is>
      </c>
      <c r="G107" t="inlineStr">
        <is>
          <t>2026-08-20</t>
        </is>
      </c>
      <c r="H107" t="inlineStr">
        <is>
          <t>2026-08</t>
        </is>
      </c>
      <c r="I107" t="inlineStr">
        <is>
          <t>acidez</t>
        </is>
      </c>
      <c r="J107" t="inlineStr">
        <is>
          <t>Acidez total</t>
        </is>
      </c>
      <c r="K107" t="n">
        <v>33</v>
      </c>
      <c r="L107" t="inlineStr"/>
      <c r="N107" t="inlineStr">
        <is>
          <t>33</t>
        </is>
      </c>
      <c r="O107" t="inlineStr">
        <is>
          <t>mg/L CaCO3</t>
        </is>
      </c>
      <c r="P107" t="inlineStr">
        <is>
          <t>CaCO3</t>
        </is>
      </c>
      <c r="Q107" t="inlineStr">
        <is>
          <t>SM 2310 B</t>
        </is>
      </c>
      <c r="R107" t="inlineStr">
        <is>
          <t>2026-08-21</t>
        </is>
      </c>
      <c r="S107" t="inlineStr">
        <is>
          <t>Laboratorio de Ingeniería Ambiental, Facultad de Ingeniería, UNAL Bogotá (LIA)</t>
        </is>
      </c>
      <c r="T107" t="inlineStr">
        <is>
          <t>40016</t>
        </is>
      </c>
      <c r="U107" t="inlineStr">
        <is>
          <t>PDF ANALISIS_40016.pdf (informe original)</t>
        </is>
      </c>
      <c r="V107" t="inlineStr">
        <is>
          <t>grupo_punto_por_nombre</t>
        </is>
      </c>
    </row>
    <row r="108">
      <c r="A108" t="inlineStr">
        <is>
          <t>Leticia</t>
        </is>
      </c>
      <c r="B108" t="inlineStr">
        <is>
          <t>UN-LE-036</t>
        </is>
      </c>
      <c r="C108" t="inlineStr">
        <is>
          <t>Agua cruda, subterránea, pozo casa profe, Universidad Nacional Amazonia</t>
        </is>
      </c>
      <c r="D108" t="inlineStr">
        <is>
          <t>POZO_PROFE</t>
        </is>
      </c>
      <c r="E108" t="inlineStr">
        <is>
          <t>subterránea (pozo)</t>
        </is>
      </c>
      <c r="F108" t="inlineStr">
        <is>
          <t>2026-08-20</t>
        </is>
      </c>
      <c r="G108" t="inlineStr">
        <is>
          <t>2026-08-20</t>
        </is>
      </c>
      <c r="H108" t="inlineStr">
        <is>
          <t>2026-08</t>
        </is>
      </c>
      <c r="I108" t="inlineStr">
        <is>
          <t>dureza_total</t>
        </is>
      </c>
      <c r="J108" t="inlineStr">
        <is>
          <t>Dureza total</t>
        </is>
      </c>
      <c r="K108" t="n">
        <v>9</v>
      </c>
      <c r="L108" t="inlineStr"/>
      <c r="N108" t="inlineStr">
        <is>
          <t>9</t>
        </is>
      </c>
      <c r="O108" t="inlineStr">
        <is>
          <t>mg/L CaCO3</t>
        </is>
      </c>
      <c r="P108" t="inlineStr">
        <is>
          <t>CaCO3</t>
        </is>
      </c>
      <c r="Q108" t="inlineStr">
        <is>
          <t>SM 2340 C</t>
        </is>
      </c>
      <c r="R108" t="inlineStr">
        <is>
          <t>2026-08-25</t>
        </is>
      </c>
      <c r="S108" t="inlineStr">
        <is>
          <t>Laboratorio de Ingeniería Ambiental, Facultad de Ingeniería, UNAL Bogotá (LIA)</t>
        </is>
      </c>
      <c r="T108" t="inlineStr">
        <is>
          <t>40016</t>
        </is>
      </c>
      <c r="U108" t="inlineStr">
        <is>
          <t>PDF ANALISIS_40016.pdf (informe original)</t>
        </is>
      </c>
      <c r="V108" t="inlineStr">
        <is>
          <t>grupo_punto_por_nombre</t>
        </is>
      </c>
    </row>
    <row r="109">
      <c r="A109" t="inlineStr">
        <is>
          <t>Leticia</t>
        </is>
      </c>
      <c r="B109" t="inlineStr">
        <is>
          <t>UN-LE-036</t>
        </is>
      </c>
      <c r="C109" t="inlineStr">
        <is>
          <t>Agua cruda, subterránea, pozo casa profe, Universidad Nacional Amazonia</t>
        </is>
      </c>
      <c r="D109" t="inlineStr">
        <is>
          <t>POZO_PROFE</t>
        </is>
      </c>
      <c r="E109" t="inlineStr">
        <is>
          <t>subterránea (pozo)</t>
        </is>
      </c>
      <c r="F109" t="inlineStr">
        <is>
          <t>2026-08-20</t>
        </is>
      </c>
      <c r="G109" t="inlineStr">
        <is>
          <t>2026-08-20</t>
        </is>
      </c>
      <c r="H109" t="inlineStr">
        <is>
          <t>2026-08</t>
        </is>
      </c>
      <c r="I109" t="inlineStr">
        <is>
          <t>dureza_calcica</t>
        </is>
      </c>
      <c r="J109" t="inlineStr">
        <is>
          <t>Dureza Cálcica</t>
        </is>
      </c>
      <c r="K109" t="n">
        <v>5</v>
      </c>
      <c r="L109" t="inlineStr">
        <is>
          <t>&lt;</t>
        </is>
      </c>
      <c r="M109" t="n">
        <v>5</v>
      </c>
      <c r="N109" t="inlineStr">
        <is>
          <t>&lt;5</t>
        </is>
      </c>
      <c r="O109" t="inlineStr">
        <is>
          <t>mg/L CaCO3</t>
        </is>
      </c>
      <c r="P109" t="inlineStr">
        <is>
          <t>CaCO3</t>
        </is>
      </c>
      <c r="Q109" t="inlineStr">
        <is>
          <t>SM 3500-Ca,B</t>
        </is>
      </c>
      <c r="R109" t="inlineStr">
        <is>
          <t>2026-08-25</t>
        </is>
      </c>
      <c r="S109" t="inlineStr">
        <is>
          <t>Laboratorio de Ingeniería Ambiental, Facultad de Ingeniería, UNAL Bogotá (LIA)</t>
        </is>
      </c>
      <c r="T109" t="inlineStr">
        <is>
          <t>40016</t>
        </is>
      </c>
      <c r="U109" t="inlineStr">
        <is>
          <t>PDF ANALISIS_40016.pdf (informe original)</t>
        </is>
      </c>
      <c r="V109" t="inlineStr">
        <is>
          <t>grupo_punto_por_nombre</t>
        </is>
      </c>
    </row>
    <row r="110">
      <c r="A110" t="inlineStr">
        <is>
          <t>Leticia</t>
        </is>
      </c>
      <c r="B110" t="inlineStr">
        <is>
          <t>UN-LE-036</t>
        </is>
      </c>
      <c r="C110" t="inlineStr">
        <is>
          <t>Agua cruda, subterránea, pozo casa profe, Universidad Nacional Amazonia</t>
        </is>
      </c>
      <c r="D110" t="inlineStr">
        <is>
          <t>POZO_PROFE</t>
        </is>
      </c>
      <c r="E110" t="inlineStr">
        <is>
          <t>subterránea (pozo)</t>
        </is>
      </c>
      <c r="F110" t="inlineStr">
        <is>
          <t>2026-08-20</t>
        </is>
      </c>
      <c r="G110" t="inlineStr">
        <is>
          <t>2026-08-20</t>
        </is>
      </c>
      <c r="H110" t="inlineStr">
        <is>
          <t>2026-08</t>
        </is>
      </c>
      <c r="I110" t="inlineStr">
        <is>
          <t>dureza_magnesica</t>
        </is>
      </c>
      <c r="J110" t="inlineStr">
        <is>
          <t>Dureza Magnésica</t>
        </is>
      </c>
      <c r="K110" t="n">
        <v>6</v>
      </c>
      <c r="L110" t="inlineStr"/>
      <c r="N110" t="inlineStr">
        <is>
          <t>6</t>
        </is>
      </c>
      <c r="O110" t="inlineStr">
        <is>
          <t>mg/L CaCO3</t>
        </is>
      </c>
      <c r="P110" t="inlineStr">
        <is>
          <t>CaCO3</t>
        </is>
      </c>
      <c r="Q110" t="inlineStr">
        <is>
          <t>SM 3500-Mg,B</t>
        </is>
      </c>
      <c r="R110" t="inlineStr">
        <is>
          <t>2026-08-25</t>
        </is>
      </c>
      <c r="S110" t="inlineStr">
        <is>
          <t>Laboratorio de Ingeniería Ambiental, Facultad de Ingeniería, UNAL Bogotá (LIA)</t>
        </is>
      </c>
      <c r="T110" t="inlineStr">
        <is>
          <t>40016</t>
        </is>
      </c>
      <c r="U110" t="inlineStr">
        <is>
          <t>PDF ANALISIS_40016.pdf (informe original)</t>
        </is>
      </c>
      <c r="V110" t="inlineStr">
        <is>
          <t>grupo_punto_por_nombre</t>
        </is>
      </c>
    </row>
    <row r="111">
      <c r="A111" t="inlineStr">
        <is>
          <t>Leticia</t>
        </is>
      </c>
      <c r="B111" t="inlineStr">
        <is>
          <t>UN-LE-036</t>
        </is>
      </c>
      <c r="C111" t="inlineStr">
        <is>
          <t>Agua cruda, subterránea, pozo casa profe, Universidad Nacional Amazonia</t>
        </is>
      </c>
      <c r="D111" t="inlineStr">
        <is>
          <t>POZO_PROFE</t>
        </is>
      </c>
      <c r="E111" t="inlineStr">
        <is>
          <t>subterránea (pozo)</t>
        </is>
      </c>
      <c r="F111" t="inlineStr">
        <is>
          <t>2026-08-20</t>
        </is>
      </c>
      <c r="G111" t="inlineStr">
        <is>
          <t>2026-08-20</t>
        </is>
      </c>
      <c r="H111" t="inlineStr">
        <is>
          <t>2026-08</t>
        </is>
      </c>
      <c r="I111" t="inlineStr">
        <is>
          <t>calcio</t>
        </is>
      </c>
      <c r="J111" t="inlineStr">
        <is>
          <t>Calcio por titulación</t>
        </is>
      </c>
      <c r="K111" t="n">
        <v>1</v>
      </c>
      <c r="L111" t="inlineStr"/>
      <c r="N111" t="inlineStr">
        <is>
          <t>1</t>
        </is>
      </c>
      <c r="O111" t="inlineStr">
        <is>
          <t>mg/L Ca</t>
        </is>
      </c>
      <c r="P111" t="inlineStr">
        <is>
          <t>Ca</t>
        </is>
      </c>
      <c r="Q111" t="inlineStr">
        <is>
          <t>SM 3500-Ca,B</t>
        </is>
      </c>
      <c r="R111" t="inlineStr">
        <is>
          <t>2026-08-25</t>
        </is>
      </c>
      <c r="S111" t="inlineStr">
        <is>
          <t>Laboratorio de Ingeniería Ambiental, Facultad de Ingeniería, UNAL Bogotá (LIA)</t>
        </is>
      </c>
      <c r="T111" t="inlineStr">
        <is>
          <t>40016</t>
        </is>
      </c>
      <c r="U111" t="inlineStr">
        <is>
          <t>PDF ANALISIS_40016.pdf (informe original)</t>
        </is>
      </c>
      <c r="V111" t="inlineStr">
        <is>
          <t>grupo_punto_por_nombre</t>
        </is>
      </c>
    </row>
    <row r="112">
      <c r="A112" t="inlineStr">
        <is>
          <t>Leticia</t>
        </is>
      </c>
      <c r="B112" t="inlineStr">
        <is>
          <t>UN-LE-036</t>
        </is>
      </c>
      <c r="C112" t="inlineStr">
        <is>
          <t>Agua cruda, subterránea, pozo casa profe, Universidad Nacional Amazonia</t>
        </is>
      </c>
      <c r="D112" t="inlineStr">
        <is>
          <t>POZO_PROFE</t>
        </is>
      </c>
      <c r="E112" t="inlineStr">
        <is>
          <t>subterránea (pozo)</t>
        </is>
      </c>
      <c r="F112" t="inlineStr">
        <is>
          <t>2026-08-20</t>
        </is>
      </c>
      <c r="G112" t="inlineStr">
        <is>
          <t>2026-08-20</t>
        </is>
      </c>
      <c r="H112" t="inlineStr">
        <is>
          <t>2026-08</t>
        </is>
      </c>
      <c r="I112" t="inlineStr">
        <is>
          <t>magnesio</t>
        </is>
      </c>
      <c r="J112" t="inlineStr">
        <is>
          <t>Magnesio</t>
        </is>
      </c>
      <c r="K112" t="n">
        <v>1</v>
      </c>
      <c r="L112" t="inlineStr"/>
      <c r="N112" t="inlineStr">
        <is>
          <t>1</t>
        </is>
      </c>
      <c r="O112" t="inlineStr">
        <is>
          <t>mg/L Mg</t>
        </is>
      </c>
      <c r="P112" t="inlineStr">
        <is>
          <t>Mg</t>
        </is>
      </c>
      <c r="Q112" t="inlineStr">
        <is>
          <t>SM 3500-Mg,B</t>
        </is>
      </c>
      <c r="R112" t="inlineStr">
        <is>
          <t>2026-08-25</t>
        </is>
      </c>
      <c r="S112" t="inlineStr">
        <is>
          <t>Laboratorio de Ingeniería Ambiental, Facultad de Ingeniería, UNAL Bogotá (LIA)</t>
        </is>
      </c>
      <c r="T112" t="inlineStr">
        <is>
          <t>40016</t>
        </is>
      </c>
      <c r="U112" t="inlineStr">
        <is>
          <t>PDF ANALISIS_40016.pdf (informe original)</t>
        </is>
      </c>
      <c r="V112" t="inlineStr">
        <is>
          <t>grupo_punto_por_nombre</t>
        </is>
      </c>
    </row>
    <row r="113">
      <c r="A113" t="inlineStr">
        <is>
          <t>Leticia</t>
        </is>
      </c>
      <c r="B113" t="inlineStr">
        <is>
          <t>UN-LE-036</t>
        </is>
      </c>
      <c r="C113" t="inlineStr">
        <is>
          <t>Agua cruda, subterránea, pozo casa profe, Universidad Nacional Amazonia</t>
        </is>
      </c>
      <c r="D113" t="inlineStr">
        <is>
          <t>POZO_PROFE</t>
        </is>
      </c>
      <c r="E113" t="inlineStr">
        <is>
          <t>subterránea (pozo)</t>
        </is>
      </c>
      <c r="F113" t="inlineStr">
        <is>
          <t>2026-08-20</t>
        </is>
      </c>
      <c r="G113" t="inlineStr">
        <is>
          <t>2026-08-20</t>
        </is>
      </c>
      <c r="H113" t="inlineStr">
        <is>
          <t>2026-08</t>
        </is>
      </c>
      <c r="I113" t="inlineStr">
        <is>
          <t>hierro</t>
        </is>
      </c>
      <c r="J113" t="inlineStr">
        <is>
          <t>Hierro</t>
        </is>
      </c>
      <c r="K113" t="n">
        <v>0.1</v>
      </c>
      <c r="L113" t="inlineStr">
        <is>
          <t>&lt;</t>
        </is>
      </c>
      <c r="M113" t="n">
        <v>0.1</v>
      </c>
      <c r="N113" t="inlineStr">
        <is>
          <t>&lt;0,1</t>
        </is>
      </c>
      <c r="O113" t="inlineStr">
        <is>
          <t>mg/L Fe +3</t>
        </is>
      </c>
      <c r="P113" t="inlineStr">
        <is>
          <t>Fe total</t>
        </is>
      </c>
      <c r="Q113" t="inlineStr">
        <is>
          <t>SM 3111 B</t>
        </is>
      </c>
      <c r="R113" t="inlineStr">
        <is>
          <t>2026-08-28</t>
        </is>
      </c>
      <c r="S113" t="inlineStr">
        <is>
          <t>Laboratorio de Ingeniería Ambiental, Facultad de Ingeniería, UNAL Bogotá (LIA)</t>
        </is>
      </c>
      <c r="T113" t="inlineStr">
        <is>
          <t>40016</t>
        </is>
      </c>
      <c r="U113" t="inlineStr">
        <is>
          <t>PDF ANALISIS_40016.pdf (informe original)</t>
        </is>
      </c>
      <c r="V113" t="inlineStr">
        <is>
          <t>grupo_punto_por_nombre</t>
        </is>
      </c>
    </row>
    <row r="114">
      <c r="A114" t="inlineStr">
        <is>
          <t>Leticia</t>
        </is>
      </c>
      <c r="B114" t="inlineStr">
        <is>
          <t>UN-LE-036</t>
        </is>
      </c>
      <c r="C114" t="inlineStr">
        <is>
          <t>Agua cruda, subterránea, pozo casa profe, Universidad Nacional Amazonia</t>
        </is>
      </c>
      <c r="D114" t="inlineStr">
        <is>
          <t>POZO_PROFE</t>
        </is>
      </c>
      <c r="E114" t="inlineStr">
        <is>
          <t>subterránea (pozo)</t>
        </is>
      </c>
      <c r="F114" t="inlineStr">
        <is>
          <t>2026-08-20</t>
        </is>
      </c>
      <c r="G114" t="inlineStr">
        <is>
          <t>2026-08-20</t>
        </is>
      </c>
      <c r="H114" t="inlineStr">
        <is>
          <t>2026-08</t>
        </is>
      </c>
      <c r="I114" t="inlineStr">
        <is>
          <t>manganeso</t>
        </is>
      </c>
      <c r="J114" t="inlineStr">
        <is>
          <t>Manganeso</t>
        </is>
      </c>
      <c r="K114" t="n">
        <v>0.05</v>
      </c>
      <c r="L114" t="inlineStr">
        <is>
          <t>&lt;</t>
        </is>
      </c>
      <c r="M114" t="n">
        <v>0.05</v>
      </c>
      <c r="N114" t="inlineStr">
        <is>
          <t>&lt;0,05</t>
        </is>
      </c>
      <c r="O114" t="inlineStr">
        <is>
          <t>mg/L Mn +7</t>
        </is>
      </c>
      <c r="P114" t="inlineStr">
        <is>
          <t>Mn total</t>
        </is>
      </c>
      <c r="Q114" t="inlineStr">
        <is>
          <t>SM 3111 B</t>
        </is>
      </c>
      <c r="R114" t="inlineStr">
        <is>
          <t>2026-08-28</t>
        </is>
      </c>
      <c r="S114" t="inlineStr">
        <is>
          <t>Laboratorio de Ingeniería Ambiental, Facultad de Ingeniería, UNAL Bogotá (LIA)</t>
        </is>
      </c>
      <c r="T114" t="inlineStr">
        <is>
          <t>40016</t>
        </is>
      </c>
      <c r="U114" t="inlineStr">
        <is>
          <t>PDF ANALISIS_40016.pdf (informe original)</t>
        </is>
      </c>
      <c r="V114" t="inlineStr">
        <is>
          <t>grupo_punto_por_nombre</t>
        </is>
      </c>
    </row>
    <row r="115">
      <c r="A115" t="inlineStr">
        <is>
          <t>Leticia</t>
        </is>
      </c>
      <c r="B115" t="inlineStr">
        <is>
          <t>UN-LE-036</t>
        </is>
      </c>
      <c r="C115" t="inlineStr">
        <is>
          <t>Agua cruda, subterránea, pozo casa profe, Universidad Nacional Amazonia</t>
        </is>
      </c>
      <c r="D115" t="inlineStr">
        <is>
          <t>POZO_PROFE</t>
        </is>
      </c>
      <c r="E115" t="inlineStr">
        <is>
          <t>subterránea (pozo)</t>
        </is>
      </c>
      <c r="F115" t="inlineStr">
        <is>
          <t>2026-08-20</t>
        </is>
      </c>
      <c r="G115" t="inlineStr">
        <is>
          <t>2026-08-20</t>
        </is>
      </c>
      <c r="H115" t="inlineStr">
        <is>
          <t>2026-08</t>
        </is>
      </c>
      <c r="I115" t="inlineStr">
        <is>
          <t>cot</t>
        </is>
      </c>
      <c r="J115" t="inlineStr">
        <is>
          <t>Carbono Orgánico Total</t>
        </is>
      </c>
      <c r="K115" t="n">
        <v>1.42</v>
      </c>
      <c r="L115" t="inlineStr"/>
      <c r="N115" t="inlineStr">
        <is>
          <t>1,42</t>
        </is>
      </c>
      <c r="O115" t="inlineStr">
        <is>
          <t>mg/L C</t>
        </is>
      </c>
      <c r="P115" t="inlineStr">
        <is>
          <t>C</t>
        </is>
      </c>
      <c r="Q115" t="inlineStr">
        <is>
          <t>SM 5310 B</t>
        </is>
      </c>
      <c r="R115" t="inlineStr">
        <is>
          <t>2026-08-25</t>
        </is>
      </c>
      <c r="S115" t="inlineStr">
        <is>
          <t>Laboratorio de Ingeniería Ambiental, Facultad de Ingeniería, UNAL Bogotá (LIA)</t>
        </is>
      </c>
      <c r="T115" t="inlineStr">
        <is>
          <t>40016</t>
        </is>
      </c>
      <c r="U115" t="inlineStr">
        <is>
          <t>PDF ANALISIS_40016.pdf (informe original)</t>
        </is>
      </c>
      <c r="V115" t="inlineStr">
        <is>
          <t>grupo_punto_por_nombre</t>
        </is>
      </c>
    </row>
    <row r="116">
      <c r="A116" t="inlineStr">
        <is>
          <t>Leticia</t>
        </is>
      </c>
      <c r="B116" t="inlineStr">
        <is>
          <t>UN-LE-036</t>
        </is>
      </c>
      <c r="C116" t="inlineStr">
        <is>
          <t>Agua cruda, subterránea, pozo casa profe, Universidad Nacional Amazonia</t>
        </is>
      </c>
      <c r="D116" t="inlineStr">
        <is>
          <t>POZO_PROFE</t>
        </is>
      </c>
      <c r="E116" t="inlineStr">
        <is>
          <t>subterránea (pozo)</t>
        </is>
      </c>
      <c r="F116" t="inlineStr">
        <is>
          <t>2026-08-20</t>
        </is>
      </c>
      <c r="G116" t="inlineStr">
        <is>
          <t>2026-08-20</t>
        </is>
      </c>
      <c r="H116" t="inlineStr">
        <is>
          <t>2026-08</t>
        </is>
      </c>
      <c r="I116" t="inlineStr">
        <is>
          <t>zinc</t>
        </is>
      </c>
      <c r="J116" t="inlineStr">
        <is>
          <t>Zinc</t>
        </is>
      </c>
      <c r="K116" t="n">
        <v>0.05</v>
      </c>
      <c r="L116" t="inlineStr">
        <is>
          <t>&lt;</t>
        </is>
      </c>
      <c r="M116" t="n">
        <v>0.05</v>
      </c>
      <c r="N116" t="inlineStr">
        <is>
          <t>&lt;0,05</t>
        </is>
      </c>
      <c r="O116" t="inlineStr">
        <is>
          <t>mg/L Zn</t>
        </is>
      </c>
      <c r="P116" t="inlineStr">
        <is>
          <t>Zn</t>
        </is>
      </c>
      <c r="Q116" t="inlineStr">
        <is>
          <t>SM 3111 B</t>
        </is>
      </c>
      <c r="R116" t="inlineStr">
        <is>
          <t>2026-08-27</t>
        </is>
      </c>
      <c r="S116" t="inlineStr">
        <is>
          <t>Laboratorio de Ingeniería Ambiental, Facultad de Ingeniería, UNAL Bogotá (LIA)</t>
        </is>
      </c>
      <c r="T116" t="inlineStr">
        <is>
          <t>40016</t>
        </is>
      </c>
      <c r="U116" t="inlineStr">
        <is>
          <t>PDF ANALISIS_40016.pdf (informe original)</t>
        </is>
      </c>
      <c r="V116" t="inlineStr">
        <is>
          <t>grupo_punto_por_nombre</t>
        </is>
      </c>
    </row>
    <row r="117">
      <c r="A117" t="inlineStr">
        <is>
          <t>Leticia</t>
        </is>
      </c>
      <c r="B117" t="inlineStr">
        <is>
          <t>UN-LE-036</t>
        </is>
      </c>
      <c r="C117" t="inlineStr">
        <is>
          <t>Agua cruda, subterránea, pozo casa profe, Universidad Nacional Amazonia</t>
        </is>
      </c>
      <c r="D117" t="inlineStr">
        <is>
          <t>POZO_PROFE</t>
        </is>
      </c>
      <c r="E117" t="inlineStr">
        <is>
          <t>subterránea (pozo)</t>
        </is>
      </c>
      <c r="F117" t="inlineStr">
        <is>
          <t>2026-08-20</t>
        </is>
      </c>
      <c r="G117" t="inlineStr">
        <is>
          <t>2026-08-20</t>
        </is>
      </c>
      <c r="H117" t="inlineStr">
        <is>
          <t>2026-08</t>
        </is>
      </c>
      <c r="I117" t="inlineStr">
        <is>
          <t>fluoruros</t>
        </is>
      </c>
      <c r="J117" t="inlineStr">
        <is>
          <t>Fluoruros</t>
        </is>
      </c>
      <c r="K117" t="n">
        <v>0.02</v>
      </c>
      <c r="L117" t="inlineStr">
        <is>
          <t>&lt;</t>
        </is>
      </c>
      <c r="M117" t="n">
        <v>0.02</v>
      </c>
      <c r="N117" t="inlineStr">
        <is>
          <t>&lt;0,02</t>
        </is>
      </c>
      <c r="O117" t="inlineStr">
        <is>
          <t>mg/L F-</t>
        </is>
      </c>
      <c r="P117" t="inlineStr">
        <is>
          <t>F-</t>
        </is>
      </c>
      <c r="Q117" t="inlineStr">
        <is>
          <t>SM 4110 B</t>
        </is>
      </c>
      <c r="R117" t="inlineStr">
        <is>
          <t>2026-08-21</t>
        </is>
      </c>
      <c r="S117" t="inlineStr">
        <is>
          <t>Laboratorio de Ingeniería Ambiental, Facultad de Ingeniería, UNAL Bogotá (LIA)</t>
        </is>
      </c>
      <c r="T117" t="inlineStr">
        <is>
          <t>40016</t>
        </is>
      </c>
      <c r="U117" t="inlineStr">
        <is>
          <t>PDF ANALISIS_40016.pdf (informe original)</t>
        </is>
      </c>
      <c r="V117" t="inlineStr">
        <is>
          <t>grupo_punto_por_nombre</t>
        </is>
      </c>
    </row>
    <row r="118">
      <c r="A118" t="inlineStr">
        <is>
          <t>Leticia</t>
        </is>
      </c>
      <c r="B118" t="inlineStr">
        <is>
          <t>UN-LE-036</t>
        </is>
      </c>
      <c r="C118" t="inlineStr">
        <is>
          <t>Agua cruda, subterránea, pozo casa profe, Universidad Nacional Amazonia</t>
        </is>
      </c>
      <c r="D118" t="inlineStr">
        <is>
          <t>POZO_PROFE</t>
        </is>
      </c>
      <c r="E118" t="inlineStr">
        <is>
          <t>subterránea (pozo)</t>
        </is>
      </c>
      <c r="F118" t="inlineStr">
        <is>
          <t>2026-08-20</t>
        </is>
      </c>
      <c r="G118" t="inlineStr">
        <is>
          <t>2026-08-20</t>
        </is>
      </c>
      <c r="H118" t="inlineStr">
        <is>
          <t>2026-08</t>
        </is>
      </c>
      <c r="I118" t="inlineStr">
        <is>
          <t>nitritos_n</t>
        </is>
      </c>
      <c r="J118" t="inlineStr">
        <is>
          <t>Nitritos</t>
        </is>
      </c>
      <c r="K118" t="n">
        <v>0.1</v>
      </c>
      <c r="L118" t="inlineStr">
        <is>
          <t>&lt;</t>
        </is>
      </c>
      <c r="M118" t="n">
        <v>0.1</v>
      </c>
      <c r="N118" t="inlineStr">
        <is>
          <t>&lt;0,1</t>
        </is>
      </c>
      <c r="O118" t="inlineStr">
        <is>
          <t>mg/L N-NO2-</t>
        </is>
      </c>
      <c r="P118" t="inlineStr">
        <is>
          <t>N (de NO2-)</t>
        </is>
      </c>
      <c r="Q118" t="inlineStr">
        <is>
          <t>SM 4110 B</t>
        </is>
      </c>
      <c r="R118" t="inlineStr">
        <is>
          <t>2026-08-21</t>
        </is>
      </c>
      <c r="S118" t="inlineStr">
        <is>
          <t>Laboratorio de Ingeniería Ambiental, Facultad de Ingeniería, UNAL Bogotá (LIA)</t>
        </is>
      </c>
      <c r="T118" t="inlineStr">
        <is>
          <t>40016</t>
        </is>
      </c>
      <c r="U118" t="inlineStr">
        <is>
          <t>PDF ANALISIS_40016.pdf (informe original)</t>
        </is>
      </c>
      <c r="V118" t="inlineStr">
        <is>
          <t>grupo_punto_por_nombre</t>
        </is>
      </c>
    </row>
    <row r="119">
      <c r="A119" t="inlineStr">
        <is>
          <t>Leticia</t>
        </is>
      </c>
      <c r="B119" t="inlineStr">
        <is>
          <t>UN-LE-036</t>
        </is>
      </c>
      <c r="C119" t="inlineStr">
        <is>
          <t>Agua cruda, subterránea, pozo casa profe, Universidad Nacional Amazonia</t>
        </is>
      </c>
      <c r="D119" t="inlineStr">
        <is>
          <t>POZO_PROFE</t>
        </is>
      </c>
      <c r="E119" t="inlineStr">
        <is>
          <t>subterránea (pozo)</t>
        </is>
      </c>
      <c r="F119" t="inlineStr">
        <is>
          <t>2026-08-20</t>
        </is>
      </c>
      <c r="G119" t="inlineStr">
        <is>
          <t>2026-08-20</t>
        </is>
      </c>
      <c r="H119" t="inlineStr">
        <is>
          <t>2026-08</t>
        </is>
      </c>
      <c r="I119" t="inlineStr">
        <is>
          <t>nitratos_n</t>
        </is>
      </c>
      <c r="J119" t="inlineStr">
        <is>
          <t>Nitratos</t>
        </is>
      </c>
      <c r="K119" t="n">
        <v>0.7</v>
      </c>
      <c r="L119" t="inlineStr"/>
      <c r="N119" t="inlineStr">
        <is>
          <t>0,7</t>
        </is>
      </c>
      <c r="O119" t="inlineStr">
        <is>
          <t>mg/L N-NO3-</t>
        </is>
      </c>
      <c r="P119" t="inlineStr">
        <is>
          <t>N (de NO3-)</t>
        </is>
      </c>
      <c r="Q119" t="inlineStr">
        <is>
          <t>SM 4110 B</t>
        </is>
      </c>
      <c r="R119" t="inlineStr">
        <is>
          <t>2026-08-21</t>
        </is>
      </c>
      <c r="S119" t="inlineStr">
        <is>
          <t>Laboratorio de Ingeniería Ambiental, Facultad de Ingeniería, UNAL Bogotá (LIA)</t>
        </is>
      </c>
      <c r="T119" t="inlineStr">
        <is>
          <t>40016</t>
        </is>
      </c>
      <c r="U119" t="inlineStr">
        <is>
          <t>PDF ANALISIS_40016.pdf (informe original)</t>
        </is>
      </c>
      <c r="V119" t="inlineStr">
        <is>
          <t>grupo_punto_por_nombre</t>
        </is>
      </c>
    </row>
    <row r="120">
      <c r="A120" t="inlineStr">
        <is>
          <t>Leticia</t>
        </is>
      </c>
      <c r="B120" t="inlineStr">
        <is>
          <t>UN-LE-036</t>
        </is>
      </c>
      <c r="C120" t="inlineStr">
        <is>
          <t>Agua cruda, subterránea, pozo casa profe, Universidad Nacional Amazonia</t>
        </is>
      </c>
      <c r="D120" t="inlineStr">
        <is>
          <t>POZO_PROFE</t>
        </is>
      </c>
      <c r="E120" t="inlineStr">
        <is>
          <t>subterránea (pozo)</t>
        </is>
      </c>
      <c r="F120" t="inlineStr">
        <is>
          <t>2026-08-20</t>
        </is>
      </c>
      <c r="G120" t="inlineStr">
        <is>
          <t>2026-08-20</t>
        </is>
      </c>
      <c r="H120" t="inlineStr">
        <is>
          <t>2026-08</t>
        </is>
      </c>
      <c r="I120" t="inlineStr">
        <is>
          <t>cloruros</t>
        </is>
      </c>
      <c r="J120" t="inlineStr">
        <is>
          <t>Cloruros</t>
        </is>
      </c>
      <c r="K120" t="n">
        <v>0.2</v>
      </c>
      <c r="L120" t="inlineStr"/>
      <c r="N120" t="inlineStr">
        <is>
          <t>0,2</t>
        </is>
      </c>
      <c r="O120" t="inlineStr">
        <is>
          <t>mg/L Cl-</t>
        </is>
      </c>
      <c r="P120" t="inlineStr">
        <is>
          <t>Cl-</t>
        </is>
      </c>
      <c r="Q120" t="inlineStr">
        <is>
          <t>SM 4110 B</t>
        </is>
      </c>
      <c r="R120" t="inlineStr">
        <is>
          <t>2026-08-21</t>
        </is>
      </c>
      <c r="S120" t="inlineStr">
        <is>
          <t>Laboratorio de Ingeniería Ambiental, Facultad de Ingeniería, UNAL Bogotá (LIA)</t>
        </is>
      </c>
      <c r="T120" t="inlineStr">
        <is>
          <t>40016</t>
        </is>
      </c>
      <c r="U120" t="inlineStr">
        <is>
          <t>PDF ANALISIS_40016.pdf (informe original)</t>
        </is>
      </c>
      <c r="V120" t="inlineStr">
        <is>
          <t>grupo_punto_por_nombre</t>
        </is>
      </c>
    </row>
    <row r="121">
      <c r="A121" t="inlineStr">
        <is>
          <t>Leticia</t>
        </is>
      </c>
      <c r="B121" t="inlineStr">
        <is>
          <t>UN-LE-036</t>
        </is>
      </c>
      <c r="C121" t="inlineStr">
        <is>
          <t>Agua cruda, subterránea, pozo casa profe, Universidad Nacional Amazonia</t>
        </is>
      </c>
      <c r="D121" t="inlineStr">
        <is>
          <t>POZO_PROFE</t>
        </is>
      </c>
      <c r="E121" t="inlineStr">
        <is>
          <t>subterránea (pozo)</t>
        </is>
      </c>
      <c r="F121" t="inlineStr">
        <is>
          <t>2026-08-20</t>
        </is>
      </c>
      <c r="G121" t="inlineStr">
        <is>
          <t>2026-08-20</t>
        </is>
      </c>
      <c r="H121" t="inlineStr">
        <is>
          <t>2026-08</t>
        </is>
      </c>
      <c r="I121" t="inlineStr">
        <is>
          <t>sulfatos</t>
        </is>
      </c>
      <c r="J121" t="inlineStr">
        <is>
          <t>Sulfatos</t>
        </is>
      </c>
      <c r="K121" t="n">
        <v>0.1</v>
      </c>
      <c r="L121" t="inlineStr"/>
      <c r="N121" t="inlineStr">
        <is>
          <t>0,1</t>
        </is>
      </c>
      <c r="O121" t="inlineStr">
        <is>
          <t>mg/L SO4=</t>
        </is>
      </c>
      <c r="P121" t="inlineStr">
        <is>
          <t>SO4 2-</t>
        </is>
      </c>
      <c r="Q121" t="inlineStr">
        <is>
          <t>SM 4110 B</t>
        </is>
      </c>
      <c r="R121" t="inlineStr">
        <is>
          <t>2026-08-21</t>
        </is>
      </c>
      <c r="S121" t="inlineStr">
        <is>
          <t>Laboratorio de Ingeniería Ambiental, Facultad de Ingeniería, UNAL Bogotá (LIA)</t>
        </is>
      </c>
      <c r="T121" t="inlineStr">
        <is>
          <t>40016</t>
        </is>
      </c>
      <c r="U121" t="inlineStr">
        <is>
          <t>PDF ANALISIS_40016.pdf (informe original)</t>
        </is>
      </c>
      <c r="V121" t="inlineStr">
        <is>
          <t>grupo_punto_por_nombre</t>
        </is>
      </c>
    </row>
    <row r="122">
      <c r="A122" t="inlineStr">
        <is>
          <t>Leticia</t>
        </is>
      </c>
      <c r="B122" t="inlineStr">
        <is>
          <t>UN-LE-036</t>
        </is>
      </c>
      <c r="C122" t="inlineStr">
        <is>
          <t>Agua cruda, subterránea, pozo casa profe, Universidad Nacional Amazonia</t>
        </is>
      </c>
      <c r="D122" t="inlineStr">
        <is>
          <t>POZO_PROFE</t>
        </is>
      </c>
      <c r="E122" t="inlineStr">
        <is>
          <t>subterránea (pozo)</t>
        </is>
      </c>
      <c r="F122" t="inlineStr">
        <is>
          <t>2026-08-20</t>
        </is>
      </c>
      <c r="G122" t="inlineStr">
        <is>
          <t>2026-08-20</t>
        </is>
      </c>
      <c r="H122" t="inlineStr">
        <is>
          <t>2026-08</t>
        </is>
      </c>
      <c r="I122" t="inlineStr">
        <is>
          <t>ortofosfatos</t>
        </is>
      </c>
      <c r="J122" t="inlineStr">
        <is>
          <t>Ortofosfatos</t>
        </is>
      </c>
      <c r="K122" t="n">
        <v>0.2</v>
      </c>
      <c r="L122" t="inlineStr">
        <is>
          <t>&lt;</t>
        </is>
      </c>
      <c r="M122" t="n">
        <v>0.2</v>
      </c>
      <c r="N122" t="inlineStr">
        <is>
          <t>&lt;0,2</t>
        </is>
      </c>
      <c r="O122" t="inlineStr">
        <is>
          <t>mg/L PO4-3</t>
        </is>
      </c>
      <c r="P122" t="inlineStr">
        <is>
          <t>PO4 3-</t>
        </is>
      </c>
      <c r="Q122" t="inlineStr">
        <is>
          <t>SM 4110 B</t>
        </is>
      </c>
      <c r="R122" t="inlineStr">
        <is>
          <t>2026-08-21</t>
        </is>
      </c>
      <c r="S122" t="inlineStr">
        <is>
          <t>Laboratorio de Ingeniería Ambiental, Facultad de Ingeniería, UNAL Bogotá (LIA)</t>
        </is>
      </c>
      <c r="T122" t="inlineStr">
        <is>
          <t>40016</t>
        </is>
      </c>
      <c r="U122" t="inlineStr">
        <is>
          <t>PDF ANALISIS_40016.pdf (informe original)</t>
        </is>
      </c>
      <c r="V122" t="inlineStr">
        <is>
          <t>grupo_punto_por_nombre</t>
        </is>
      </c>
    </row>
    <row r="123">
      <c r="A123" t="inlineStr">
        <is>
          <t>Leticia</t>
        </is>
      </c>
      <c r="B123" t="inlineStr">
        <is>
          <t>UN-LE-036</t>
        </is>
      </c>
      <c r="C123" t="inlineStr">
        <is>
          <t>Agua cruda, subterránea, pozo casa profe, Universidad Nacional Amazonia</t>
        </is>
      </c>
      <c r="D123" t="inlineStr">
        <is>
          <t>POZO_PROFE</t>
        </is>
      </c>
      <c r="E123" t="inlineStr">
        <is>
          <t>subterránea (pozo)</t>
        </is>
      </c>
      <c r="F123" t="inlineStr">
        <is>
          <t>2026-08-20</t>
        </is>
      </c>
      <c r="G123" t="inlineStr">
        <is>
          <t>2026-08-20</t>
        </is>
      </c>
      <c r="H123" t="inlineStr">
        <is>
          <t>2026-08</t>
        </is>
      </c>
      <c r="I123" t="inlineStr">
        <is>
          <t>solidos_totales</t>
        </is>
      </c>
      <c r="J123" t="inlineStr">
        <is>
          <t>Sólidos Totales</t>
        </is>
      </c>
      <c r="K123" t="n">
        <v>17</v>
      </c>
      <c r="L123" t="inlineStr"/>
      <c r="N123" t="inlineStr">
        <is>
          <t>17</t>
        </is>
      </c>
      <c r="O123" t="inlineStr">
        <is>
          <t>mg/L</t>
        </is>
      </c>
      <c r="P123" t="inlineStr">
        <is>
          <t>residuo a 103–105 °C</t>
        </is>
      </c>
      <c r="Q123" t="inlineStr">
        <is>
          <t>SM 2540 B</t>
        </is>
      </c>
      <c r="R123" t="inlineStr">
        <is>
          <t>2026-08-24</t>
        </is>
      </c>
      <c r="S123" t="inlineStr">
        <is>
          <t>Laboratorio de Ingeniería Ambiental, Facultad de Ingeniería, UNAL Bogotá (LIA)</t>
        </is>
      </c>
      <c r="T123" t="inlineStr">
        <is>
          <t>40016</t>
        </is>
      </c>
      <c r="U123" t="inlineStr">
        <is>
          <t>PDF ANALISIS_40016.pdf (informe original)</t>
        </is>
      </c>
      <c r="V123" t="inlineStr">
        <is>
          <t>grupo_punto_por_nombre</t>
        </is>
      </c>
    </row>
    <row r="124">
      <c r="A124" t="inlineStr">
        <is>
          <t>Leticia</t>
        </is>
      </c>
      <c r="B124" t="inlineStr">
        <is>
          <t>UN-LE-036</t>
        </is>
      </c>
      <c r="C124" t="inlineStr">
        <is>
          <t>Agua cruda, subterránea, pozo casa profe, Universidad Nacional Amazonia</t>
        </is>
      </c>
      <c r="D124" t="inlineStr">
        <is>
          <t>POZO_PROFE</t>
        </is>
      </c>
      <c r="E124" t="inlineStr">
        <is>
          <t>subterránea (pozo)</t>
        </is>
      </c>
      <c r="F124" t="inlineStr">
        <is>
          <t>2026-08-20</t>
        </is>
      </c>
      <c r="G124" t="inlineStr">
        <is>
          <t>2026-08-20</t>
        </is>
      </c>
      <c r="H124" t="inlineStr">
        <is>
          <t>2026-08</t>
        </is>
      </c>
      <c r="I124" t="inlineStr">
        <is>
          <t>sst</t>
        </is>
      </c>
      <c r="J124" t="inlineStr">
        <is>
          <t>Sólidos Suspendidos Totales</t>
        </is>
      </c>
      <c r="K124" t="n">
        <v>5</v>
      </c>
      <c r="L124" t="inlineStr">
        <is>
          <t>&lt;</t>
        </is>
      </c>
      <c r="M124" t="n">
        <v>5</v>
      </c>
      <c r="N124" t="inlineStr">
        <is>
          <t>&lt;5</t>
        </is>
      </c>
      <c r="O124" t="inlineStr">
        <is>
          <t>mg/L</t>
        </is>
      </c>
      <c r="P124" t="inlineStr">
        <is>
          <t>retenidos en filtro</t>
        </is>
      </c>
      <c r="Q124" t="inlineStr">
        <is>
          <t>SM 2540 D</t>
        </is>
      </c>
      <c r="R124" t="inlineStr">
        <is>
          <t>2026-08-28</t>
        </is>
      </c>
      <c r="S124" t="inlineStr">
        <is>
          <t>Laboratorio de Ingeniería Ambiental, Facultad de Ingeniería, UNAL Bogotá (LIA)</t>
        </is>
      </c>
      <c r="T124" t="inlineStr">
        <is>
          <t>40016</t>
        </is>
      </c>
      <c r="U124" t="inlineStr">
        <is>
          <t>PDF ANALISIS_40016.pdf (informe original)</t>
        </is>
      </c>
      <c r="V124" t="inlineStr">
        <is>
          <t>grupo_punto_por_nombre</t>
        </is>
      </c>
    </row>
    <row r="125">
      <c r="A125" t="inlineStr">
        <is>
          <t>Leticia</t>
        </is>
      </c>
      <c r="B125" t="inlineStr">
        <is>
          <t>UN-LE-036</t>
        </is>
      </c>
      <c r="C125" t="inlineStr">
        <is>
          <t>Agua cruda, subterránea, pozo casa profe, Universidad Nacional Amazonia</t>
        </is>
      </c>
      <c r="D125" t="inlineStr">
        <is>
          <t>POZO_PROFE</t>
        </is>
      </c>
      <c r="E125" t="inlineStr">
        <is>
          <t>subterránea (pozo)</t>
        </is>
      </c>
      <c r="F125" t="inlineStr">
        <is>
          <t>2026-08-20</t>
        </is>
      </c>
      <c r="G125" t="inlineStr">
        <is>
          <t>2026-08-20</t>
        </is>
      </c>
      <c r="H125" t="inlineStr">
        <is>
          <t>2026-08</t>
        </is>
      </c>
      <c r="I125" t="inlineStr">
        <is>
          <t>coliformes_totales</t>
        </is>
      </c>
      <c r="J125" t="inlineStr">
        <is>
          <t>Coliformes totales</t>
        </is>
      </c>
      <c r="K125" t="n">
        <v>2400</v>
      </c>
      <c r="L125" t="inlineStr"/>
      <c r="N125" t="inlineStr">
        <is>
          <t>2,4 x 103</t>
        </is>
      </c>
      <c r="O125" t="inlineStr">
        <is>
          <t>NMP/100 mL</t>
        </is>
      </c>
      <c r="P125" t="inlineStr">
        <is>
          <t>NMP</t>
        </is>
      </c>
      <c r="Q125" t="inlineStr">
        <is>
          <t>SM 9221 C</t>
        </is>
      </c>
      <c r="R125" t="inlineStr">
        <is>
          <t>2026-08-21</t>
        </is>
      </c>
      <c r="S125" t="inlineStr">
        <is>
          <t>Laboratorio de Ingeniería Ambiental, Facultad de Ingeniería, UNAL Bogotá (LIA)</t>
        </is>
      </c>
      <c r="T125" t="inlineStr">
        <is>
          <t>40016</t>
        </is>
      </c>
      <c r="U125" t="inlineStr">
        <is>
          <t>PDF ANALISIS_40016.pdf (informe original)</t>
        </is>
      </c>
      <c r="V125" t="inlineStr">
        <is>
          <t>grupo_punto_por_nombre</t>
        </is>
      </c>
    </row>
    <row r="126">
      <c r="A126" t="inlineStr">
        <is>
          <t>Leticia</t>
        </is>
      </c>
      <c r="B126" t="inlineStr">
        <is>
          <t>UN-LE-036</t>
        </is>
      </c>
      <c r="C126" t="inlineStr">
        <is>
          <t>Agua cruda, subterránea, pozo casa profe, Universidad Nacional Amazonia</t>
        </is>
      </c>
      <c r="D126" t="inlineStr">
        <is>
          <t>POZO_PROFE</t>
        </is>
      </c>
      <c r="E126" t="inlineStr">
        <is>
          <t>subterránea (pozo)</t>
        </is>
      </c>
      <c r="F126" t="inlineStr">
        <is>
          <t>2026-08-20</t>
        </is>
      </c>
      <c r="G126" t="inlineStr">
        <is>
          <t>2026-08-20</t>
        </is>
      </c>
      <c r="H126" t="inlineStr">
        <is>
          <t>2026-08</t>
        </is>
      </c>
      <c r="I126" t="inlineStr">
        <is>
          <t>e_coli</t>
        </is>
      </c>
      <c r="J126" t="inlineStr">
        <is>
          <t>E. coli</t>
        </is>
      </c>
      <c r="K126" t="n">
        <v>45</v>
      </c>
      <c r="L126" t="inlineStr"/>
      <c r="N126" t="inlineStr">
        <is>
          <t>45</t>
        </is>
      </c>
      <c r="O126" t="inlineStr">
        <is>
          <t>NMP/100 mL</t>
        </is>
      </c>
      <c r="P126" t="inlineStr">
        <is>
          <t>NMP</t>
        </is>
      </c>
      <c r="Q126" t="inlineStr">
        <is>
          <t>SM 9221 C</t>
        </is>
      </c>
      <c r="R126" t="inlineStr">
        <is>
          <t>2026-08-21</t>
        </is>
      </c>
      <c r="S126" t="inlineStr">
        <is>
          <t>Laboratorio de Ingeniería Ambiental, Facultad de Ingeniería, UNAL Bogotá (LIA)</t>
        </is>
      </c>
      <c r="T126" t="inlineStr">
        <is>
          <t>40016</t>
        </is>
      </c>
      <c r="U126" t="inlineStr">
        <is>
          <t>PDF ANALISIS_40016.pdf (informe original)</t>
        </is>
      </c>
      <c r="V126" t="inlineStr">
        <is>
          <t>grupo_punto_por_nombre</t>
        </is>
      </c>
    </row>
    <row r="127">
      <c r="A127" t="inlineStr">
        <is>
          <t>Leticia</t>
        </is>
      </c>
      <c r="B127" t="inlineStr">
        <is>
          <t>UN-LE-037</t>
        </is>
      </c>
      <c r="C127" t="inlineStr">
        <is>
          <t>Agua cruda, subterránea, pozo, Universidad Nacional Amazonia</t>
        </is>
      </c>
      <c r="D127" t="inlineStr">
        <is>
          <t>POZO_NUMAE</t>
        </is>
      </c>
      <c r="E127" t="inlineStr">
        <is>
          <t>subterránea (pozo)</t>
        </is>
      </c>
      <c r="F127" t="inlineStr">
        <is>
          <t>2026-08-20</t>
        </is>
      </c>
      <c r="G127" t="inlineStr">
        <is>
          <t>2026-08-20</t>
        </is>
      </c>
      <c r="H127" t="inlineStr">
        <is>
          <t>2026-08</t>
        </is>
      </c>
      <c r="I127" t="inlineStr">
        <is>
          <t>turbiedad</t>
        </is>
      </c>
      <c r="J127" t="inlineStr">
        <is>
          <t>Turbiedad</t>
        </is>
      </c>
      <c r="K127" t="n">
        <v>9.279999999999999</v>
      </c>
      <c r="L127" t="inlineStr"/>
      <c r="N127" t="inlineStr">
        <is>
          <t>9,28</t>
        </is>
      </c>
      <c r="O127" t="inlineStr">
        <is>
          <t>UNT</t>
        </is>
      </c>
      <c r="P127" t="inlineStr">
        <is>
          <t>turbiedad nefelométrica</t>
        </is>
      </c>
      <c r="Q127" t="inlineStr">
        <is>
          <t>SM 2130 B</t>
        </is>
      </c>
      <c r="R127" t="inlineStr">
        <is>
          <t>2026-08-21</t>
        </is>
      </c>
      <c r="S127" t="inlineStr">
        <is>
          <t>Laboratorio de Ingeniería Ambiental, Facultad de Ingeniería, UNAL Bogotá (LIA)</t>
        </is>
      </c>
      <c r="T127" t="inlineStr">
        <is>
          <t>40017</t>
        </is>
      </c>
      <c r="U127" t="inlineStr">
        <is>
          <t>PDF ANALISIS_40017.pdf (informe original)</t>
        </is>
      </c>
      <c r="V127" t="inlineStr">
        <is>
          <t>hora_no_reportada;grupo_punto_por_similitud_quimica</t>
        </is>
      </c>
    </row>
    <row r="128">
      <c r="A128" t="inlineStr">
        <is>
          <t>Leticia</t>
        </is>
      </c>
      <c r="B128" t="inlineStr">
        <is>
          <t>UN-LE-037</t>
        </is>
      </c>
      <c r="C128" t="inlineStr">
        <is>
          <t>Agua cruda, subterránea, pozo, Universidad Nacional Amazonia</t>
        </is>
      </c>
      <c r="D128" t="inlineStr">
        <is>
          <t>POZO_NUMAE</t>
        </is>
      </c>
      <c r="E128" t="inlineStr">
        <is>
          <t>subterránea (pozo)</t>
        </is>
      </c>
      <c r="F128" t="inlineStr">
        <is>
          <t>2026-08-20</t>
        </is>
      </c>
      <c r="G128" t="inlineStr">
        <is>
          <t>2026-08-20</t>
        </is>
      </c>
      <c r="H128" t="inlineStr">
        <is>
          <t>2026-08</t>
        </is>
      </c>
      <c r="I128" t="inlineStr">
        <is>
          <t>color_aparente</t>
        </is>
      </c>
      <c r="J128" t="inlineStr">
        <is>
          <t>Color Aparente</t>
        </is>
      </c>
      <c r="K128" t="n">
        <v>8</v>
      </c>
      <c r="L128" t="inlineStr"/>
      <c r="N128" t="inlineStr">
        <is>
          <t>8</t>
        </is>
      </c>
      <c r="O128" t="inlineStr">
        <is>
          <t>UPC</t>
        </is>
      </c>
      <c r="P128" t="inlineStr">
        <is>
          <t>Pt-Co, sin filtrar</t>
        </is>
      </c>
      <c r="Q128" t="inlineStr">
        <is>
          <t>SM 2120 B</t>
        </is>
      </c>
      <c r="R128" t="inlineStr">
        <is>
          <t>2026-08-21</t>
        </is>
      </c>
      <c r="S128" t="inlineStr">
        <is>
          <t>Laboratorio de Ingeniería Ambiental, Facultad de Ingeniería, UNAL Bogotá (LIA)</t>
        </is>
      </c>
      <c r="T128" t="inlineStr">
        <is>
          <t>40017</t>
        </is>
      </c>
      <c r="U128" t="inlineStr">
        <is>
          <t>PDF ANALISIS_40017.pdf (informe original)</t>
        </is>
      </c>
      <c r="V128" t="inlineStr">
        <is>
          <t>hora_no_reportada;grupo_punto_por_similitud_quimica</t>
        </is>
      </c>
    </row>
    <row r="129">
      <c r="A129" t="inlineStr">
        <is>
          <t>Leticia</t>
        </is>
      </c>
      <c r="B129" t="inlineStr">
        <is>
          <t>UN-LE-037</t>
        </is>
      </c>
      <c r="C129" t="inlineStr">
        <is>
          <t>Agua cruda, subterránea, pozo, Universidad Nacional Amazonia</t>
        </is>
      </c>
      <c r="D129" t="inlineStr">
        <is>
          <t>POZO_NUMAE</t>
        </is>
      </c>
      <c r="E129" t="inlineStr">
        <is>
          <t>subterránea (pozo)</t>
        </is>
      </c>
      <c r="F129" t="inlineStr">
        <is>
          <t>2026-08-20</t>
        </is>
      </c>
      <c r="G129" t="inlineStr">
        <is>
          <t>2026-08-20</t>
        </is>
      </c>
      <c r="H129" t="inlineStr">
        <is>
          <t>2026-08</t>
        </is>
      </c>
      <c r="I129" t="inlineStr">
        <is>
          <t>ph</t>
        </is>
      </c>
      <c r="J129" t="inlineStr">
        <is>
          <t>pH</t>
        </is>
      </c>
      <c r="K129" t="n">
        <v>5.5</v>
      </c>
      <c r="L129" t="inlineStr"/>
      <c r="N129" t="inlineStr">
        <is>
          <t>5,50</t>
        </is>
      </c>
      <c r="O129" t="inlineStr">
        <is>
          <t>Unidades</t>
        </is>
      </c>
      <c r="P129" t="inlineStr">
        <is>
          <t>pH</t>
        </is>
      </c>
      <c r="Q129" t="inlineStr">
        <is>
          <t>SM 4500 H+B</t>
        </is>
      </c>
      <c r="R129" t="inlineStr">
        <is>
          <t>2026-08-21</t>
        </is>
      </c>
      <c r="S129" t="inlineStr">
        <is>
          <t>Laboratorio de Ingeniería Ambiental, Facultad de Ingeniería, UNAL Bogotá (LIA)</t>
        </is>
      </c>
      <c r="T129" t="inlineStr">
        <is>
          <t>40017</t>
        </is>
      </c>
      <c r="U129" t="inlineStr">
        <is>
          <t>PDF ANALISIS_40017.pdf (informe original)</t>
        </is>
      </c>
      <c r="V129" t="inlineStr">
        <is>
          <t>hora_no_reportada;grupo_punto_por_similitud_quimica</t>
        </is>
      </c>
    </row>
    <row r="130">
      <c r="A130" t="inlineStr">
        <is>
          <t>Leticia</t>
        </is>
      </c>
      <c r="B130" t="inlineStr">
        <is>
          <t>UN-LE-037</t>
        </is>
      </c>
      <c r="C130" t="inlineStr">
        <is>
          <t>Agua cruda, subterránea, pozo, Universidad Nacional Amazonia</t>
        </is>
      </c>
      <c r="D130" t="inlineStr">
        <is>
          <t>POZO_NUMAE</t>
        </is>
      </c>
      <c r="E130" t="inlineStr">
        <is>
          <t>subterránea (pozo)</t>
        </is>
      </c>
      <c r="F130" t="inlineStr">
        <is>
          <t>2026-08-20</t>
        </is>
      </c>
      <c r="G130" t="inlineStr">
        <is>
          <t>2026-08-20</t>
        </is>
      </c>
      <c r="H130" t="inlineStr">
        <is>
          <t>2026-08</t>
        </is>
      </c>
      <c r="I130" t="inlineStr">
        <is>
          <t>conductividad</t>
        </is>
      </c>
      <c r="J130" t="inlineStr">
        <is>
          <t>Conductividad Específica</t>
        </is>
      </c>
      <c r="K130" t="n">
        <v>60.7</v>
      </c>
      <c r="L130" t="inlineStr"/>
      <c r="N130" t="inlineStr">
        <is>
          <t>60,7</t>
        </is>
      </c>
      <c r="O130" t="inlineStr">
        <is>
          <t>µS/cm 25 °C</t>
        </is>
      </c>
      <c r="P130" t="inlineStr">
        <is>
          <t>CE a 25 °C</t>
        </is>
      </c>
      <c r="Q130" t="inlineStr">
        <is>
          <t>SM 2510 B</t>
        </is>
      </c>
      <c r="R130" t="inlineStr">
        <is>
          <t>2026-08-21</t>
        </is>
      </c>
      <c r="S130" t="inlineStr">
        <is>
          <t>Laboratorio de Ingeniería Ambiental, Facultad de Ingeniería, UNAL Bogotá (LIA)</t>
        </is>
      </c>
      <c r="T130" t="inlineStr">
        <is>
          <t>40017</t>
        </is>
      </c>
      <c r="U130" t="inlineStr">
        <is>
          <t>PDF ANALISIS_40017.pdf (informe original)</t>
        </is>
      </c>
      <c r="V130" t="inlineStr">
        <is>
          <t>hora_no_reportada;grupo_punto_por_similitud_quimica</t>
        </is>
      </c>
    </row>
    <row r="131">
      <c r="A131" t="inlineStr">
        <is>
          <t>Leticia</t>
        </is>
      </c>
      <c r="B131" t="inlineStr">
        <is>
          <t>UN-LE-037</t>
        </is>
      </c>
      <c r="C131" t="inlineStr">
        <is>
          <t>Agua cruda, subterránea, pozo, Universidad Nacional Amazonia</t>
        </is>
      </c>
      <c r="D131" t="inlineStr">
        <is>
          <t>POZO_NUMAE</t>
        </is>
      </c>
      <c r="E131" t="inlineStr">
        <is>
          <t>subterránea (pozo)</t>
        </is>
      </c>
      <c r="F131" t="inlineStr">
        <is>
          <t>2026-08-20</t>
        </is>
      </c>
      <c r="G131" t="inlineStr">
        <is>
          <t>2026-08-20</t>
        </is>
      </c>
      <c r="H131" t="inlineStr">
        <is>
          <t>2026-08</t>
        </is>
      </c>
      <c r="I131" t="inlineStr">
        <is>
          <t>alcalinidad</t>
        </is>
      </c>
      <c r="J131" t="inlineStr">
        <is>
          <t>Alcalinidad total</t>
        </is>
      </c>
      <c r="K131" t="n">
        <v>6</v>
      </c>
      <c r="L131" t="inlineStr"/>
      <c r="N131" t="inlineStr">
        <is>
          <t>6</t>
        </is>
      </c>
      <c r="O131" t="inlineStr">
        <is>
          <t>mg/L CaCO3</t>
        </is>
      </c>
      <c r="P131" t="inlineStr">
        <is>
          <t>CaCO3</t>
        </is>
      </c>
      <c r="Q131" t="inlineStr">
        <is>
          <t>SM 2320 (Indicador)</t>
        </is>
      </c>
      <c r="R131" t="inlineStr">
        <is>
          <t>2026-08-21</t>
        </is>
      </c>
      <c r="S131" t="inlineStr">
        <is>
          <t>Laboratorio de Ingeniería Ambiental, Facultad de Ingeniería, UNAL Bogotá (LIA)</t>
        </is>
      </c>
      <c r="T131" t="inlineStr">
        <is>
          <t>40017</t>
        </is>
      </c>
      <c r="U131" t="inlineStr">
        <is>
          <t>PDF ANALISIS_40017.pdf (informe original)</t>
        </is>
      </c>
      <c r="V131" t="inlineStr">
        <is>
          <t>hora_no_reportada;grupo_punto_por_similitud_quimica</t>
        </is>
      </c>
    </row>
    <row r="132">
      <c r="A132" t="inlineStr">
        <is>
          <t>Leticia</t>
        </is>
      </c>
      <c r="B132" t="inlineStr">
        <is>
          <t>UN-LE-037</t>
        </is>
      </c>
      <c r="C132" t="inlineStr">
        <is>
          <t>Agua cruda, subterránea, pozo, Universidad Nacional Amazonia</t>
        </is>
      </c>
      <c r="D132" t="inlineStr">
        <is>
          <t>POZO_NUMAE</t>
        </is>
      </c>
      <c r="E132" t="inlineStr">
        <is>
          <t>subterránea (pozo)</t>
        </is>
      </c>
      <c r="F132" t="inlineStr">
        <is>
          <t>2026-08-20</t>
        </is>
      </c>
      <c r="G132" t="inlineStr">
        <is>
          <t>2026-08-20</t>
        </is>
      </c>
      <c r="H132" t="inlineStr">
        <is>
          <t>2026-08</t>
        </is>
      </c>
      <c r="I132" t="inlineStr">
        <is>
          <t>acidez</t>
        </is>
      </c>
      <c r="J132" t="inlineStr">
        <is>
          <t>Acidez total</t>
        </is>
      </c>
      <c r="K132" t="n">
        <v>28</v>
      </c>
      <c r="L132" t="inlineStr"/>
      <c r="N132" t="inlineStr">
        <is>
          <t>28</t>
        </is>
      </c>
      <c r="O132" t="inlineStr">
        <is>
          <t>mg/L CaCO3</t>
        </is>
      </c>
      <c r="P132" t="inlineStr">
        <is>
          <t>CaCO3</t>
        </is>
      </c>
      <c r="Q132" t="inlineStr">
        <is>
          <t>SM 2310 B</t>
        </is>
      </c>
      <c r="R132" t="inlineStr">
        <is>
          <t>2026-08-21</t>
        </is>
      </c>
      <c r="S132" t="inlineStr">
        <is>
          <t>Laboratorio de Ingeniería Ambiental, Facultad de Ingeniería, UNAL Bogotá (LIA)</t>
        </is>
      </c>
      <c r="T132" t="inlineStr">
        <is>
          <t>40017</t>
        </is>
      </c>
      <c r="U132" t="inlineStr">
        <is>
          <t>PDF ANALISIS_40017.pdf (informe original)</t>
        </is>
      </c>
      <c r="V132" t="inlineStr">
        <is>
          <t>hora_no_reportada;grupo_punto_por_similitud_quimica</t>
        </is>
      </c>
    </row>
    <row r="133">
      <c r="A133" t="inlineStr">
        <is>
          <t>Leticia</t>
        </is>
      </c>
      <c r="B133" t="inlineStr">
        <is>
          <t>UN-LE-037</t>
        </is>
      </c>
      <c r="C133" t="inlineStr">
        <is>
          <t>Agua cruda, subterránea, pozo, Universidad Nacional Amazonia</t>
        </is>
      </c>
      <c r="D133" t="inlineStr">
        <is>
          <t>POZO_NUMAE</t>
        </is>
      </c>
      <c r="E133" t="inlineStr">
        <is>
          <t>subterránea (pozo)</t>
        </is>
      </c>
      <c r="F133" t="inlineStr">
        <is>
          <t>2026-08-20</t>
        </is>
      </c>
      <c r="G133" t="inlineStr">
        <is>
          <t>2026-08-20</t>
        </is>
      </c>
      <c r="H133" t="inlineStr">
        <is>
          <t>2026-08</t>
        </is>
      </c>
      <c r="I133" t="inlineStr">
        <is>
          <t>dureza_total</t>
        </is>
      </c>
      <c r="J133" t="inlineStr">
        <is>
          <t>Dureza total</t>
        </is>
      </c>
      <c r="K133" t="n">
        <v>10</v>
      </c>
      <c r="L133" t="inlineStr"/>
      <c r="N133" t="inlineStr">
        <is>
          <t>10</t>
        </is>
      </c>
      <c r="O133" t="inlineStr">
        <is>
          <t>mg/L CaCO3</t>
        </is>
      </c>
      <c r="P133" t="inlineStr">
        <is>
          <t>CaCO3</t>
        </is>
      </c>
      <c r="Q133" t="inlineStr">
        <is>
          <t>SM 2340 C</t>
        </is>
      </c>
      <c r="R133" t="inlineStr">
        <is>
          <t>2026-08-25</t>
        </is>
      </c>
      <c r="S133" t="inlineStr">
        <is>
          <t>Laboratorio de Ingeniería Ambiental, Facultad de Ingeniería, UNAL Bogotá (LIA)</t>
        </is>
      </c>
      <c r="T133" t="inlineStr">
        <is>
          <t>40017</t>
        </is>
      </c>
      <c r="U133" t="inlineStr">
        <is>
          <t>PDF ANALISIS_40017.pdf (informe original)</t>
        </is>
      </c>
      <c r="V133" t="inlineStr">
        <is>
          <t>hora_no_reportada;grupo_punto_por_similitud_quimica</t>
        </is>
      </c>
    </row>
    <row r="134">
      <c r="A134" t="inlineStr">
        <is>
          <t>Leticia</t>
        </is>
      </c>
      <c r="B134" t="inlineStr">
        <is>
          <t>UN-LE-037</t>
        </is>
      </c>
      <c r="C134" t="inlineStr">
        <is>
          <t>Agua cruda, subterránea, pozo, Universidad Nacional Amazonia</t>
        </is>
      </c>
      <c r="D134" t="inlineStr">
        <is>
          <t>POZO_NUMAE</t>
        </is>
      </c>
      <c r="E134" t="inlineStr">
        <is>
          <t>subterránea (pozo)</t>
        </is>
      </c>
      <c r="F134" t="inlineStr">
        <is>
          <t>2026-08-20</t>
        </is>
      </c>
      <c r="G134" t="inlineStr">
        <is>
          <t>2026-08-20</t>
        </is>
      </c>
      <c r="H134" t="inlineStr">
        <is>
          <t>2026-08</t>
        </is>
      </c>
      <c r="I134" t="inlineStr">
        <is>
          <t>dureza_calcica</t>
        </is>
      </c>
      <c r="J134" t="inlineStr">
        <is>
          <t>Dureza Cálcica</t>
        </is>
      </c>
      <c r="K134" t="n">
        <v>5</v>
      </c>
      <c r="L134" t="inlineStr">
        <is>
          <t>&lt;</t>
        </is>
      </c>
      <c r="M134" t="n">
        <v>5</v>
      </c>
      <c r="N134" t="inlineStr">
        <is>
          <t>&lt;5</t>
        </is>
      </c>
      <c r="O134" t="inlineStr">
        <is>
          <t>mg/L CaCO3</t>
        </is>
      </c>
      <c r="P134" t="inlineStr">
        <is>
          <t>CaCO3</t>
        </is>
      </c>
      <c r="Q134" t="inlineStr">
        <is>
          <t>SM 3500-Ca,B</t>
        </is>
      </c>
      <c r="R134" t="inlineStr">
        <is>
          <t>2026-08-25</t>
        </is>
      </c>
      <c r="S134" t="inlineStr">
        <is>
          <t>Laboratorio de Ingeniería Ambiental, Facultad de Ingeniería, UNAL Bogotá (LIA)</t>
        </is>
      </c>
      <c r="T134" t="inlineStr">
        <is>
          <t>40017</t>
        </is>
      </c>
      <c r="U134" t="inlineStr">
        <is>
          <t>PDF ANALISIS_40017.pdf (informe original)</t>
        </is>
      </c>
      <c r="V134" t="inlineStr">
        <is>
          <t>hora_no_reportada;grupo_punto_por_similitud_quimica</t>
        </is>
      </c>
    </row>
    <row r="135">
      <c r="A135" t="inlineStr">
        <is>
          <t>Leticia</t>
        </is>
      </c>
      <c r="B135" t="inlineStr">
        <is>
          <t>UN-LE-037</t>
        </is>
      </c>
      <c r="C135" t="inlineStr">
        <is>
          <t>Agua cruda, subterránea, pozo, Universidad Nacional Amazonia</t>
        </is>
      </c>
      <c r="D135" t="inlineStr">
        <is>
          <t>POZO_NUMAE</t>
        </is>
      </c>
      <c r="E135" t="inlineStr">
        <is>
          <t>subterránea (pozo)</t>
        </is>
      </c>
      <c r="F135" t="inlineStr">
        <is>
          <t>2026-08-20</t>
        </is>
      </c>
      <c r="G135" t="inlineStr">
        <is>
          <t>2026-08-20</t>
        </is>
      </c>
      <c r="H135" t="inlineStr">
        <is>
          <t>2026-08</t>
        </is>
      </c>
      <c r="I135" t="inlineStr">
        <is>
          <t>dureza_magnesica</t>
        </is>
      </c>
      <c r="J135" t="inlineStr">
        <is>
          <t>Dureza Magnésica</t>
        </is>
      </c>
      <c r="K135" t="n">
        <v>8</v>
      </c>
      <c r="L135" t="inlineStr"/>
      <c r="N135" t="inlineStr">
        <is>
          <t>8</t>
        </is>
      </c>
      <c r="O135" t="inlineStr">
        <is>
          <t>mg/L CaCO3</t>
        </is>
      </c>
      <c r="P135" t="inlineStr">
        <is>
          <t>CaCO3</t>
        </is>
      </c>
      <c r="Q135" t="inlineStr">
        <is>
          <t>SM 3500-Mg,B</t>
        </is>
      </c>
      <c r="R135" t="inlineStr">
        <is>
          <t>2026-08-25</t>
        </is>
      </c>
      <c r="S135" t="inlineStr">
        <is>
          <t>Laboratorio de Ingeniería Ambiental, Facultad de Ingeniería, UNAL Bogotá (LIA)</t>
        </is>
      </c>
      <c r="T135" t="inlineStr">
        <is>
          <t>40017</t>
        </is>
      </c>
      <c r="U135" t="inlineStr">
        <is>
          <t>PDF ANALISIS_40017.pdf (informe original)</t>
        </is>
      </c>
      <c r="V135" t="inlineStr">
        <is>
          <t>hora_no_reportada;grupo_punto_por_similitud_quimica</t>
        </is>
      </c>
    </row>
    <row r="136">
      <c r="A136" t="inlineStr">
        <is>
          <t>Leticia</t>
        </is>
      </c>
      <c r="B136" t="inlineStr">
        <is>
          <t>UN-LE-037</t>
        </is>
      </c>
      <c r="C136" t="inlineStr">
        <is>
          <t>Agua cruda, subterránea, pozo, Universidad Nacional Amazonia</t>
        </is>
      </c>
      <c r="D136" t="inlineStr">
        <is>
          <t>POZO_NUMAE</t>
        </is>
      </c>
      <c r="E136" t="inlineStr">
        <is>
          <t>subterránea (pozo)</t>
        </is>
      </c>
      <c r="F136" t="inlineStr">
        <is>
          <t>2026-08-20</t>
        </is>
      </c>
      <c r="G136" t="inlineStr">
        <is>
          <t>2026-08-20</t>
        </is>
      </c>
      <c r="H136" t="inlineStr">
        <is>
          <t>2026-08</t>
        </is>
      </c>
      <c r="I136" t="inlineStr">
        <is>
          <t>calcio</t>
        </is>
      </c>
      <c r="J136" t="inlineStr">
        <is>
          <t>Calcio por titulación</t>
        </is>
      </c>
      <c r="K136" t="n">
        <v>1</v>
      </c>
      <c r="L136" t="inlineStr"/>
      <c r="N136" t="inlineStr">
        <is>
          <t>1</t>
        </is>
      </c>
      <c r="O136" t="inlineStr">
        <is>
          <t>mg/L Ca</t>
        </is>
      </c>
      <c r="P136" t="inlineStr">
        <is>
          <t>Ca</t>
        </is>
      </c>
      <c r="Q136" t="inlineStr">
        <is>
          <t>SM 3500-Ca,B</t>
        </is>
      </c>
      <c r="R136" t="inlineStr">
        <is>
          <t>2026-08-25</t>
        </is>
      </c>
      <c r="S136" t="inlineStr">
        <is>
          <t>Laboratorio de Ingeniería Ambiental, Facultad de Ingeniería, UNAL Bogotá (LIA)</t>
        </is>
      </c>
      <c r="T136" t="inlineStr">
        <is>
          <t>40017</t>
        </is>
      </c>
      <c r="U136" t="inlineStr">
        <is>
          <t>PDF ANALISIS_40017.pdf (informe original)</t>
        </is>
      </c>
      <c r="V136" t="inlineStr">
        <is>
          <t>hora_no_reportada;grupo_punto_por_similitud_quimica</t>
        </is>
      </c>
    </row>
    <row r="137">
      <c r="A137" t="inlineStr">
        <is>
          <t>Leticia</t>
        </is>
      </c>
      <c r="B137" t="inlineStr">
        <is>
          <t>UN-LE-037</t>
        </is>
      </c>
      <c r="C137" t="inlineStr">
        <is>
          <t>Agua cruda, subterránea, pozo, Universidad Nacional Amazonia</t>
        </is>
      </c>
      <c r="D137" t="inlineStr">
        <is>
          <t>POZO_NUMAE</t>
        </is>
      </c>
      <c r="E137" t="inlineStr">
        <is>
          <t>subterránea (pozo)</t>
        </is>
      </c>
      <c r="F137" t="inlineStr">
        <is>
          <t>2026-08-20</t>
        </is>
      </c>
      <c r="G137" t="inlineStr">
        <is>
          <t>2026-08-20</t>
        </is>
      </c>
      <c r="H137" t="inlineStr">
        <is>
          <t>2026-08</t>
        </is>
      </c>
      <c r="I137" t="inlineStr">
        <is>
          <t>magnesio</t>
        </is>
      </c>
      <c r="J137" t="inlineStr">
        <is>
          <t>Magnesio</t>
        </is>
      </c>
      <c r="K137" t="n">
        <v>2</v>
      </c>
      <c r="L137" t="inlineStr"/>
      <c r="N137" t="inlineStr">
        <is>
          <t>2</t>
        </is>
      </c>
      <c r="O137" t="inlineStr">
        <is>
          <t>mg/L Mg</t>
        </is>
      </c>
      <c r="P137" t="inlineStr">
        <is>
          <t>Mg</t>
        </is>
      </c>
      <c r="Q137" t="inlineStr">
        <is>
          <t>SM 3500-Mg,B</t>
        </is>
      </c>
      <c r="R137" t="inlineStr">
        <is>
          <t>2026-08-25</t>
        </is>
      </c>
      <c r="S137" t="inlineStr">
        <is>
          <t>Laboratorio de Ingeniería Ambiental, Facultad de Ingeniería, UNAL Bogotá (LIA)</t>
        </is>
      </c>
      <c r="T137" t="inlineStr">
        <is>
          <t>40017</t>
        </is>
      </c>
      <c r="U137" t="inlineStr">
        <is>
          <t>PDF ANALISIS_40017.pdf (informe original)</t>
        </is>
      </c>
      <c r="V137" t="inlineStr">
        <is>
          <t>hora_no_reportada;grupo_punto_por_similitud_quimica</t>
        </is>
      </c>
    </row>
    <row r="138">
      <c r="A138" t="inlineStr">
        <is>
          <t>Leticia</t>
        </is>
      </c>
      <c r="B138" t="inlineStr">
        <is>
          <t>UN-LE-037</t>
        </is>
      </c>
      <c r="C138" t="inlineStr">
        <is>
          <t>Agua cruda, subterránea, pozo, Universidad Nacional Amazonia</t>
        </is>
      </c>
      <c r="D138" t="inlineStr">
        <is>
          <t>POZO_NUMAE</t>
        </is>
      </c>
      <c r="E138" t="inlineStr">
        <is>
          <t>subterránea (pozo)</t>
        </is>
      </c>
      <c r="F138" t="inlineStr">
        <is>
          <t>2026-08-20</t>
        </is>
      </c>
      <c r="G138" t="inlineStr">
        <is>
          <t>2026-08-20</t>
        </is>
      </c>
      <c r="H138" t="inlineStr">
        <is>
          <t>2026-08</t>
        </is>
      </c>
      <c r="I138" t="inlineStr">
        <is>
          <t>hierro</t>
        </is>
      </c>
      <c r="J138" t="inlineStr">
        <is>
          <t>Hierro</t>
        </is>
      </c>
      <c r="K138" t="n">
        <v>0.1</v>
      </c>
      <c r="L138" t="inlineStr">
        <is>
          <t>&lt;</t>
        </is>
      </c>
      <c r="M138" t="n">
        <v>0.1</v>
      </c>
      <c r="N138" t="inlineStr">
        <is>
          <t>&lt;0,1</t>
        </is>
      </c>
      <c r="O138" t="inlineStr">
        <is>
          <t>mg/L Fe +3</t>
        </is>
      </c>
      <c r="P138" t="inlineStr">
        <is>
          <t>Fe total</t>
        </is>
      </c>
      <c r="Q138" t="inlineStr">
        <is>
          <t>SM 3111 B</t>
        </is>
      </c>
      <c r="R138" t="inlineStr">
        <is>
          <t>2026-08-28</t>
        </is>
      </c>
      <c r="S138" t="inlineStr">
        <is>
          <t>Laboratorio de Ingeniería Ambiental, Facultad de Ingeniería, UNAL Bogotá (LIA)</t>
        </is>
      </c>
      <c r="T138" t="inlineStr">
        <is>
          <t>40017</t>
        </is>
      </c>
      <c r="U138" t="inlineStr">
        <is>
          <t>PDF ANALISIS_40017.pdf (informe original)</t>
        </is>
      </c>
      <c r="V138" t="inlineStr">
        <is>
          <t>hora_no_reportada;grupo_punto_por_similitud_quimica</t>
        </is>
      </c>
    </row>
    <row r="139">
      <c r="A139" t="inlineStr">
        <is>
          <t>Leticia</t>
        </is>
      </c>
      <c r="B139" t="inlineStr">
        <is>
          <t>UN-LE-037</t>
        </is>
      </c>
      <c r="C139" t="inlineStr">
        <is>
          <t>Agua cruda, subterránea, pozo, Universidad Nacional Amazonia</t>
        </is>
      </c>
      <c r="D139" t="inlineStr">
        <is>
          <t>POZO_NUMAE</t>
        </is>
      </c>
      <c r="E139" t="inlineStr">
        <is>
          <t>subterránea (pozo)</t>
        </is>
      </c>
      <c r="F139" t="inlineStr">
        <is>
          <t>2026-08-20</t>
        </is>
      </c>
      <c r="G139" t="inlineStr">
        <is>
          <t>2026-08-20</t>
        </is>
      </c>
      <c r="H139" t="inlineStr">
        <is>
          <t>2026-08</t>
        </is>
      </c>
      <c r="I139" t="inlineStr">
        <is>
          <t>manganeso</t>
        </is>
      </c>
      <c r="J139" t="inlineStr">
        <is>
          <t>Manganeso</t>
        </is>
      </c>
      <c r="K139" t="n">
        <v>0.07000000000000001</v>
      </c>
      <c r="L139" t="inlineStr"/>
      <c r="N139" t="inlineStr">
        <is>
          <t>0,07</t>
        </is>
      </c>
      <c r="O139" t="inlineStr">
        <is>
          <t>mg/L Mn +7</t>
        </is>
      </c>
      <c r="P139" t="inlineStr">
        <is>
          <t>Mn total</t>
        </is>
      </c>
      <c r="Q139" t="inlineStr">
        <is>
          <t>SM 3111 B</t>
        </is>
      </c>
      <c r="R139" t="inlineStr">
        <is>
          <t>2026-08-28</t>
        </is>
      </c>
      <c r="S139" t="inlineStr">
        <is>
          <t>Laboratorio de Ingeniería Ambiental, Facultad de Ingeniería, UNAL Bogotá (LIA)</t>
        </is>
      </c>
      <c r="T139" t="inlineStr">
        <is>
          <t>40017</t>
        </is>
      </c>
      <c r="U139" t="inlineStr">
        <is>
          <t>PDF ANALISIS_40017.pdf (informe original)</t>
        </is>
      </c>
      <c r="V139" t="inlineStr">
        <is>
          <t>hora_no_reportada;grupo_punto_por_similitud_quimica</t>
        </is>
      </c>
    </row>
    <row r="140">
      <c r="A140" t="inlineStr">
        <is>
          <t>Leticia</t>
        </is>
      </c>
      <c r="B140" t="inlineStr">
        <is>
          <t>UN-LE-037</t>
        </is>
      </c>
      <c r="C140" t="inlineStr">
        <is>
          <t>Agua cruda, subterránea, pozo, Universidad Nacional Amazonia</t>
        </is>
      </c>
      <c r="D140" t="inlineStr">
        <is>
          <t>POZO_NUMAE</t>
        </is>
      </c>
      <c r="E140" t="inlineStr">
        <is>
          <t>subterránea (pozo)</t>
        </is>
      </c>
      <c r="F140" t="inlineStr">
        <is>
          <t>2026-08-20</t>
        </is>
      </c>
      <c r="G140" t="inlineStr">
        <is>
          <t>2026-08-20</t>
        </is>
      </c>
      <c r="H140" t="inlineStr">
        <is>
          <t>2026-08</t>
        </is>
      </c>
      <c r="I140" t="inlineStr">
        <is>
          <t>cot</t>
        </is>
      </c>
      <c r="J140" t="inlineStr">
        <is>
          <t>Carbono Orgánico Total</t>
        </is>
      </c>
      <c r="K140" t="n">
        <v>1.53</v>
      </c>
      <c r="L140" t="inlineStr"/>
      <c r="N140" t="inlineStr">
        <is>
          <t>1,53</t>
        </is>
      </c>
      <c r="O140" t="inlineStr">
        <is>
          <t>mg/L C</t>
        </is>
      </c>
      <c r="P140" t="inlineStr">
        <is>
          <t>C</t>
        </is>
      </c>
      <c r="Q140" t="inlineStr">
        <is>
          <t>SM 5310 B</t>
        </is>
      </c>
      <c r="R140" t="inlineStr">
        <is>
          <t>2026-08-25</t>
        </is>
      </c>
      <c r="S140" t="inlineStr">
        <is>
          <t>Laboratorio de Ingeniería Ambiental, Facultad de Ingeniería, UNAL Bogotá (LIA)</t>
        </is>
      </c>
      <c r="T140" t="inlineStr">
        <is>
          <t>40017</t>
        </is>
      </c>
      <c r="U140" t="inlineStr">
        <is>
          <t>PDF ANALISIS_40017.pdf (informe original)</t>
        </is>
      </c>
      <c r="V140" t="inlineStr">
        <is>
          <t>hora_no_reportada;grupo_punto_por_similitud_quimica</t>
        </is>
      </c>
    </row>
    <row r="141">
      <c r="A141" t="inlineStr">
        <is>
          <t>Leticia</t>
        </is>
      </c>
      <c r="B141" t="inlineStr">
        <is>
          <t>UN-LE-037</t>
        </is>
      </c>
      <c r="C141" t="inlineStr">
        <is>
          <t>Agua cruda, subterránea, pozo, Universidad Nacional Amazonia</t>
        </is>
      </c>
      <c r="D141" t="inlineStr">
        <is>
          <t>POZO_NUMAE</t>
        </is>
      </c>
      <c r="E141" t="inlineStr">
        <is>
          <t>subterránea (pozo)</t>
        </is>
      </c>
      <c r="F141" t="inlineStr">
        <is>
          <t>2026-08-20</t>
        </is>
      </c>
      <c r="G141" t="inlineStr">
        <is>
          <t>2026-08-20</t>
        </is>
      </c>
      <c r="H141" t="inlineStr">
        <is>
          <t>2026-08</t>
        </is>
      </c>
      <c r="I141" t="inlineStr">
        <is>
          <t>zinc</t>
        </is>
      </c>
      <c r="J141" t="inlineStr">
        <is>
          <t>Zinc</t>
        </is>
      </c>
      <c r="K141" t="n">
        <v>0.05</v>
      </c>
      <c r="L141" t="inlineStr">
        <is>
          <t>&lt;</t>
        </is>
      </c>
      <c r="M141" t="n">
        <v>0.05</v>
      </c>
      <c r="N141" t="inlineStr">
        <is>
          <t>&lt;0,05</t>
        </is>
      </c>
      <c r="O141" t="inlineStr">
        <is>
          <t>mg/L Zn</t>
        </is>
      </c>
      <c r="P141" t="inlineStr">
        <is>
          <t>Zn</t>
        </is>
      </c>
      <c r="Q141" t="inlineStr">
        <is>
          <t>SM 3111 B</t>
        </is>
      </c>
      <c r="R141" t="inlineStr">
        <is>
          <t>2026-08-27</t>
        </is>
      </c>
      <c r="S141" t="inlineStr">
        <is>
          <t>Laboratorio de Ingeniería Ambiental, Facultad de Ingeniería, UNAL Bogotá (LIA)</t>
        </is>
      </c>
      <c r="T141" t="inlineStr">
        <is>
          <t>40017</t>
        </is>
      </c>
      <c r="U141" t="inlineStr">
        <is>
          <t>PDF ANALISIS_40017.pdf (informe original)</t>
        </is>
      </c>
      <c r="V141" t="inlineStr">
        <is>
          <t>hora_no_reportada;grupo_punto_por_similitud_quimica</t>
        </is>
      </c>
    </row>
    <row r="142">
      <c r="A142" t="inlineStr">
        <is>
          <t>Leticia</t>
        </is>
      </c>
      <c r="B142" t="inlineStr">
        <is>
          <t>UN-LE-037</t>
        </is>
      </c>
      <c r="C142" t="inlineStr">
        <is>
          <t>Agua cruda, subterránea, pozo, Universidad Nacional Amazonia</t>
        </is>
      </c>
      <c r="D142" t="inlineStr">
        <is>
          <t>POZO_NUMAE</t>
        </is>
      </c>
      <c r="E142" t="inlineStr">
        <is>
          <t>subterránea (pozo)</t>
        </is>
      </c>
      <c r="F142" t="inlineStr">
        <is>
          <t>2026-08-20</t>
        </is>
      </c>
      <c r="G142" t="inlineStr">
        <is>
          <t>2026-08-20</t>
        </is>
      </c>
      <c r="H142" t="inlineStr">
        <is>
          <t>2026-08</t>
        </is>
      </c>
      <c r="I142" t="inlineStr">
        <is>
          <t>fluoruros</t>
        </is>
      </c>
      <c r="J142" t="inlineStr">
        <is>
          <t>Fluoruros</t>
        </is>
      </c>
      <c r="K142" t="n">
        <v>0.02</v>
      </c>
      <c r="L142" t="inlineStr">
        <is>
          <t>&lt;</t>
        </is>
      </c>
      <c r="M142" t="n">
        <v>0.02</v>
      </c>
      <c r="N142" t="inlineStr">
        <is>
          <t>&lt;0,02</t>
        </is>
      </c>
      <c r="O142" t="inlineStr">
        <is>
          <t>mg/L F-</t>
        </is>
      </c>
      <c r="P142" t="inlineStr">
        <is>
          <t>F-</t>
        </is>
      </c>
      <c r="Q142" t="inlineStr">
        <is>
          <t>SM 4110 B</t>
        </is>
      </c>
      <c r="R142" t="inlineStr">
        <is>
          <t>2026-08-21</t>
        </is>
      </c>
      <c r="S142" t="inlineStr">
        <is>
          <t>Laboratorio de Ingeniería Ambiental, Facultad de Ingeniería, UNAL Bogotá (LIA)</t>
        </is>
      </c>
      <c r="T142" t="inlineStr">
        <is>
          <t>40017</t>
        </is>
      </c>
      <c r="U142" t="inlineStr">
        <is>
          <t>PDF ANALISIS_40017.pdf (informe original)</t>
        </is>
      </c>
      <c r="V142" t="inlineStr">
        <is>
          <t>hora_no_reportada;grupo_punto_por_similitud_quimica</t>
        </is>
      </c>
    </row>
    <row r="143">
      <c r="A143" t="inlineStr">
        <is>
          <t>Leticia</t>
        </is>
      </c>
      <c r="B143" t="inlineStr">
        <is>
          <t>UN-LE-037</t>
        </is>
      </c>
      <c r="C143" t="inlineStr">
        <is>
          <t>Agua cruda, subterránea, pozo, Universidad Nacional Amazonia</t>
        </is>
      </c>
      <c r="D143" t="inlineStr">
        <is>
          <t>POZO_NUMAE</t>
        </is>
      </c>
      <c r="E143" t="inlineStr">
        <is>
          <t>subterránea (pozo)</t>
        </is>
      </c>
      <c r="F143" t="inlineStr">
        <is>
          <t>2026-08-20</t>
        </is>
      </c>
      <c r="G143" t="inlineStr">
        <is>
          <t>2026-08-20</t>
        </is>
      </c>
      <c r="H143" t="inlineStr">
        <is>
          <t>2026-08</t>
        </is>
      </c>
      <c r="I143" t="inlineStr">
        <is>
          <t>nitritos_n</t>
        </is>
      </c>
      <c r="J143" t="inlineStr">
        <is>
          <t>Nitritos</t>
        </is>
      </c>
      <c r="K143" t="n">
        <v>0.1</v>
      </c>
      <c r="L143" t="inlineStr">
        <is>
          <t>&lt;</t>
        </is>
      </c>
      <c r="M143" t="n">
        <v>0.1</v>
      </c>
      <c r="N143" t="inlineStr">
        <is>
          <t>&lt;0,1</t>
        </is>
      </c>
      <c r="O143" t="inlineStr">
        <is>
          <t>mg/L N-NO2-</t>
        </is>
      </c>
      <c r="P143" t="inlineStr">
        <is>
          <t>N (de NO2-)</t>
        </is>
      </c>
      <c r="Q143" t="inlineStr">
        <is>
          <t>SM 4110 B</t>
        </is>
      </c>
      <c r="R143" t="inlineStr">
        <is>
          <t>2026-08-21</t>
        </is>
      </c>
      <c r="S143" t="inlineStr">
        <is>
          <t>Laboratorio de Ingeniería Ambiental, Facultad de Ingeniería, UNAL Bogotá (LIA)</t>
        </is>
      </c>
      <c r="T143" t="inlineStr">
        <is>
          <t>40017</t>
        </is>
      </c>
      <c r="U143" t="inlineStr">
        <is>
          <t>PDF ANALISIS_40017.pdf (informe original)</t>
        </is>
      </c>
      <c r="V143" t="inlineStr">
        <is>
          <t>hora_no_reportada;grupo_punto_por_similitud_quimica</t>
        </is>
      </c>
    </row>
    <row r="144">
      <c r="A144" t="inlineStr">
        <is>
          <t>Leticia</t>
        </is>
      </c>
      <c r="B144" t="inlineStr">
        <is>
          <t>UN-LE-037</t>
        </is>
      </c>
      <c r="C144" t="inlineStr">
        <is>
          <t>Agua cruda, subterránea, pozo, Universidad Nacional Amazonia</t>
        </is>
      </c>
      <c r="D144" t="inlineStr">
        <is>
          <t>POZO_NUMAE</t>
        </is>
      </c>
      <c r="E144" t="inlineStr">
        <is>
          <t>subterránea (pozo)</t>
        </is>
      </c>
      <c r="F144" t="inlineStr">
        <is>
          <t>2026-08-20</t>
        </is>
      </c>
      <c r="G144" t="inlineStr">
        <is>
          <t>2026-08-20</t>
        </is>
      </c>
      <c r="H144" t="inlineStr">
        <is>
          <t>2026-08</t>
        </is>
      </c>
      <c r="I144" t="inlineStr">
        <is>
          <t>nitratos_n</t>
        </is>
      </c>
      <c r="J144" t="inlineStr">
        <is>
          <t>Nitratos</t>
        </is>
      </c>
      <c r="K144" t="n">
        <v>9.300000000000001</v>
      </c>
      <c r="L144" t="inlineStr"/>
      <c r="N144" t="inlineStr">
        <is>
          <t>9,3</t>
        </is>
      </c>
      <c r="O144" t="inlineStr">
        <is>
          <t>mg/L N-NO3-</t>
        </is>
      </c>
      <c r="P144" t="inlineStr">
        <is>
          <t>N (de NO3-)</t>
        </is>
      </c>
      <c r="Q144" t="inlineStr">
        <is>
          <t>SM 4110 B</t>
        </is>
      </c>
      <c r="R144" t="inlineStr">
        <is>
          <t>2026-08-21</t>
        </is>
      </c>
      <c r="S144" t="inlineStr">
        <is>
          <t>Laboratorio de Ingeniería Ambiental, Facultad de Ingeniería, UNAL Bogotá (LIA)</t>
        </is>
      </c>
      <c r="T144" t="inlineStr">
        <is>
          <t>40017</t>
        </is>
      </c>
      <c r="U144" t="inlineStr">
        <is>
          <t>PDF ANALISIS_40017.pdf (informe original)</t>
        </is>
      </c>
      <c r="V144" t="inlineStr">
        <is>
          <t>hora_no_reportada;grupo_punto_por_similitud_quimica</t>
        </is>
      </c>
    </row>
    <row r="145">
      <c r="A145" t="inlineStr">
        <is>
          <t>Leticia</t>
        </is>
      </c>
      <c r="B145" t="inlineStr">
        <is>
          <t>UN-LE-037</t>
        </is>
      </c>
      <c r="C145" t="inlineStr">
        <is>
          <t>Agua cruda, subterránea, pozo, Universidad Nacional Amazonia</t>
        </is>
      </c>
      <c r="D145" t="inlineStr">
        <is>
          <t>POZO_NUMAE</t>
        </is>
      </c>
      <c r="E145" t="inlineStr">
        <is>
          <t>subterránea (pozo)</t>
        </is>
      </c>
      <c r="F145" t="inlineStr">
        <is>
          <t>2026-08-20</t>
        </is>
      </c>
      <c r="G145" t="inlineStr">
        <is>
          <t>2026-08-20</t>
        </is>
      </c>
      <c r="H145" t="inlineStr">
        <is>
          <t>2026-08</t>
        </is>
      </c>
      <c r="I145" t="inlineStr">
        <is>
          <t>cloruros</t>
        </is>
      </c>
      <c r="J145" t="inlineStr">
        <is>
          <t>Cloruros</t>
        </is>
      </c>
      <c r="K145" t="n">
        <v>6.9</v>
      </c>
      <c r="L145" t="inlineStr"/>
      <c r="N145" t="inlineStr">
        <is>
          <t>6,9</t>
        </is>
      </c>
      <c r="O145" t="inlineStr">
        <is>
          <t>mg/L Cl-</t>
        </is>
      </c>
      <c r="P145" t="inlineStr">
        <is>
          <t>Cl-</t>
        </is>
      </c>
      <c r="Q145" t="inlineStr">
        <is>
          <t>SM 4110 B</t>
        </is>
      </c>
      <c r="R145" t="inlineStr">
        <is>
          <t>2026-08-21</t>
        </is>
      </c>
      <c r="S145" t="inlineStr">
        <is>
          <t>Laboratorio de Ingeniería Ambiental, Facultad de Ingeniería, UNAL Bogotá (LIA)</t>
        </is>
      </c>
      <c r="T145" t="inlineStr">
        <is>
          <t>40017</t>
        </is>
      </c>
      <c r="U145" t="inlineStr">
        <is>
          <t>PDF ANALISIS_40017.pdf (informe original)</t>
        </is>
      </c>
      <c r="V145" t="inlineStr">
        <is>
          <t>hora_no_reportada;grupo_punto_por_similitud_quimica</t>
        </is>
      </c>
    </row>
    <row r="146">
      <c r="A146" t="inlineStr">
        <is>
          <t>Leticia</t>
        </is>
      </c>
      <c r="B146" t="inlineStr">
        <is>
          <t>UN-LE-037</t>
        </is>
      </c>
      <c r="C146" t="inlineStr">
        <is>
          <t>Agua cruda, subterránea, pozo, Universidad Nacional Amazonia</t>
        </is>
      </c>
      <c r="D146" t="inlineStr">
        <is>
          <t>POZO_NUMAE</t>
        </is>
      </c>
      <c r="E146" t="inlineStr">
        <is>
          <t>subterránea (pozo)</t>
        </is>
      </c>
      <c r="F146" t="inlineStr">
        <is>
          <t>2026-08-20</t>
        </is>
      </c>
      <c r="G146" t="inlineStr">
        <is>
          <t>2026-08-20</t>
        </is>
      </c>
      <c r="H146" t="inlineStr">
        <is>
          <t>2026-08</t>
        </is>
      </c>
      <c r="I146" t="inlineStr">
        <is>
          <t>sulfatos</t>
        </is>
      </c>
      <c r="J146" t="inlineStr">
        <is>
          <t>Sulfatos</t>
        </is>
      </c>
      <c r="K146" t="n">
        <v>0.4</v>
      </c>
      <c r="L146" t="inlineStr"/>
      <c r="N146" t="inlineStr">
        <is>
          <t>0,4</t>
        </is>
      </c>
      <c r="O146" t="inlineStr">
        <is>
          <t>mg/L SO4=</t>
        </is>
      </c>
      <c r="P146" t="inlineStr">
        <is>
          <t>SO4 2-</t>
        </is>
      </c>
      <c r="Q146" t="inlineStr">
        <is>
          <t>SM 4110 B</t>
        </is>
      </c>
      <c r="R146" t="inlineStr">
        <is>
          <t>2026-08-21</t>
        </is>
      </c>
      <c r="S146" t="inlineStr">
        <is>
          <t>Laboratorio de Ingeniería Ambiental, Facultad de Ingeniería, UNAL Bogotá (LIA)</t>
        </is>
      </c>
      <c r="T146" t="inlineStr">
        <is>
          <t>40017</t>
        </is>
      </c>
      <c r="U146" t="inlineStr">
        <is>
          <t>PDF ANALISIS_40017.pdf (informe original)</t>
        </is>
      </c>
      <c r="V146" t="inlineStr">
        <is>
          <t>hora_no_reportada;grupo_punto_por_similitud_quimica</t>
        </is>
      </c>
    </row>
    <row r="147">
      <c r="A147" t="inlineStr">
        <is>
          <t>Leticia</t>
        </is>
      </c>
      <c r="B147" t="inlineStr">
        <is>
          <t>UN-LE-037</t>
        </is>
      </c>
      <c r="C147" t="inlineStr">
        <is>
          <t>Agua cruda, subterránea, pozo, Universidad Nacional Amazonia</t>
        </is>
      </c>
      <c r="D147" t="inlineStr">
        <is>
          <t>POZO_NUMAE</t>
        </is>
      </c>
      <c r="E147" t="inlineStr">
        <is>
          <t>subterránea (pozo)</t>
        </is>
      </c>
      <c r="F147" t="inlineStr">
        <is>
          <t>2026-08-20</t>
        </is>
      </c>
      <c r="G147" t="inlineStr">
        <is>
          <t>2026-08-20</t>
        </is>
      </c>
      <c r="H147" t="inlineStr">
        <is>
          <t>2026-08</t>
        </is>
      </c>
      <c r="I147" t="inlineStr">
        <is>
          <t>ortofosfatos</t>
        </is>
      </c>
      <c r="J147" t="inlineStr">
        <is>
          <t>Ortofosfatos</t>
        </is>
      </c>
      <c r="K147" t="n">
        <v>0.2</v>
      </c>
      <c r="L147" t="inlineStr">
        <is>
          <t>&lt;</t>
        </is>
      </c>
      <c r="M147" t="n">
        <v>0.2</v>
      </c>
      <c r="N147" t="inlineStr">
        <is>
          <t>&lt;0,2</t>
        </is>
      </c>
      <c r="O147" t="inlineStr">
        <is>
          <t>mg/L PO4-3</t>
        </is>
      </c>
      <c r="P147" t="inlineStr">
        <is>
          <t>PO4 3-</t>
        </is>
      </c>
      <c r="Q147" t="inlineStr">
        <is>
          <t>SM 4110 B</t>
        </is>
      </c>
      <c r="R147" t="inlineStr">
        <is>
          <t>2026-08-21</t>
        </is>
      </c>
      <c r="S147" t="inlineStr">
        <is>
          <t>Laboratorio de Ingeniería Ambiental, Facultad de Ingeniería, UNAL Bogotá (LIA)</t>
        </is>
      </c>
      <c r="T147" t="inlineStr">
        <is>
          <t>40017</t>
        </is>
      </c>
      <c r="U147" t="inlineStr">
        <is>
          <t>PDF ANALISIS_40017.pdf (informe original)</t>
        </is>
      </c>
      <c r="V147" t="inlineStr">
        <is>
          <t>hora_no_reportada;grupo_punto_por_similitud_quimica</t>
        </is>
      </c>
    </row>
    <row r="148">
      <c r="A148" t="inlineStr">
        <is>
          <t>Leticia</t>
        </is>
      </c>
      <c r="B148" t="inlineStr">
        <is>
          <t>UN-LE-037</t>
        </is>
      </c>
      <c r="C148" t="inlineStr">
        <is>
          <t>Agua cruda, subterránea, pozo, Universidad Nacional Amazonia</t>
        </is>
      </c>
      <c r="D148" t="inlineStr">
        <is>
          <t>POZO_NUMAE</t>
        </is>
      </c>
      <c r="E148" t="inlineStr">
        <is>
          <t>subterránea (pozo)</t>
        </is>
      </c>
      <c r="F148" t="inlineStr">
        <is>
          <t>2026-08-20</t>
        </is>
      </c>
      <c r="G148" t="inlineStr">
        <is>
          <t>2026-08-20</t>
        </is>
      </c>
      <c r="H148" t="inlineStr">
        <is>
          <t>2026-08</t>
        </is>
      </c>
      <c r="I148" t="inlineStr">
        <is>
          <t>solidos_totales</t>
        </is>
      </c>
      <c r="J148" t="inlineStr">
        <is>
          <t>Sólidos Totales</t>
        </is>
      </c>
      <c r="K148" t="n">
        <v>78</v>
      </c>
      <c r="L148" t="inlineStr"/>
      <c r="N148" t="inlineStr">
        <is>
          <t>78</t>
        </is>
      </c>
      <c r="O148" t="inlineStr">
        <is>
          <t>mg/L</t>
        </is>
      </c>
      <c r="P148" t="inlineStr">
        <is>
          <t>residuo a 103–105 °C</t>
        </is>
      </c>
      <c r="Q148" t="inlineStr">
        <is>
          <t>SM 2540 B</t>
        </is>
      </c>
      <c r="R148" t="inlineStr">
        <is>
          <t>2026-08-24</t>
        </is>
      </c>
      <c r="S148" t="inlineStr">
        <is>
          <t>Laboratorio de Ingeniería Ambiental, Facultad de Ingeniería, UNAL Bogotá (LIA)</t>
        </is>
      </c>
      <c r="T148" t="inlineStr">
        <is>
          <t>40017</t>
        </is>
      </c>
      <c r="U148" t="inlineStr">
        <is>
          <t>PDF ANALISIS_40017.pdf (informe original)</t>
        </is>
      </c>
      <c r="V148" t="inlineStr">
        <is>
          <t>hora_no_reportada;grupo_punto_por_similitud_quimica</t>
        </is>
      </c>
    </row>
    <row r="149">
      <c r="A149" t="inlineStr">
        <is>
          <t>Leticia</t>
        </is>
      </c>
      <c r="B149" t="inlineStr">
        <is>
          <t>UN-LE-037</t>
        </is>
      </c>
      <c r="C149" t="inlineStr">
        <is>
          <t>Agua cruda, subterránea, pozo, Universidad Nacional Amazonia</t>
        </is>
      </c>
      <c r="D149" t="inlineStr">
        <is>
          <t>POZO_NUMAE</t>
        </is>
      </c>
      <c r="E149" t="inlineStr">
        <is>
          <t>subterránea (pozo)</t>
        </is>
      </c>
      <c r="F149" t="inlineStr">
        <is>
          <t>2026-08-20</t>
        </is>
      </c>
      <c r="G149" t="inlineStr">
        <is>
          <t>2026-08-20</t>
        </is>
      </c>
      <c r="H149" t="inlineStr">
        <is>
          <t>2026-08</t>
        </is>
      </c>
      <c r="I149" t="inlineStr">
        <is>
          <t>sst</t>
        </is>
      </c>
      <c r="J149" t="inlineStr">
        <is>
          <t>Sólidos Suspendidos Totales</t>
        </is>
      </c>
      <c r="K149" t="n">
        <v>17</v>
      </c>
      <c r="L149" t="inlineStr"/>
      <c r="N149" t="inlineStr">
        <is>
          <t>17</t>
        </is>
      </c>
      <c r="O149" t="inlineStr">
        <is>
          <t>mg/L</t>
        </is>
      </c>
      <c r="P149" t="inlineStr">
        <is>
          <t>retenidos en filtro</t>
        </is>
      </c>
      <c r="Q149" t="inlineStr">
        <is>
          <t>SM 2540 D</t>
        </is>
      </c>
      <c r="R149" t="inlineStr">
        <is>
          <t>2026-08-28</t>
        </is>
      </c>
      <c r="S149" t="inlineStr">
        <is>
          <t>Laboratorio de Ingeniería Ambiental, Facultad de Ingeniería, UNAL Bogotá (LIA)</t>
        </is>
      </c>
      <c r="T149" t="inlineStr">
        <is>
          <t>40017</t>
        </is>
      </c>
      <c r="U149" t="inlineStr">
        <is>
          <t>PDF ANALISIS_40017.pdf (informe original)</t>
        </is>
      </c>
      <c r="V149" t="inlineStr">
        <is>
          <t>hora_no_reportada;grupo_punto_por_similitud_quimica</t>
        </is>
      </c>
    </row>
    <row r="150">
      <c r="A150" t="inlineStr">
        <is>
          <t>Leticia</t>
        </is>
      </c>
      <c r="B150" t="inlineStr">
        <is>
          <t>UN-LE-037</t>
        </is>
      </c>
      <c r="C150" t="inlineStr">
        <is>
          <t>Agua cruda, subterránea, pozo, Universidad Nacional Amazonia</t>
        </is>
      </c>
      <c r="D150" t="inlineStr">
        <is>
          <t>POZO_NUMAE</t>
        </is>
      </c>
      <c r="E150" t="inlineStr">
        <is>
          <t>subterránea (pozo)</t>
        </is>
      </c>
      <c r="F150" t="inlineStr">
        <is>
          <t>2026-08-20</t>
        </is>
      </c>
      <c r="G150" t="inlineStr">
        <is>
          <t>2026-08-20</t>
        </is>
      </c>
      <c r="H150" t="inlineStr">
        <is>
          <t>2026-08</t>
        </is>
      </c>
      <c r="I150" t="inlineStr">
        <is>
          <t>coliformes_totales</t>
        </is>
      </c>
      <c r="J150" t="inlineStr">
        <is>
          <t>Coliformes totales</t>
        </is>
      </c>
      <c r="K150" t="n">
        <v>270</v>
      </c>
      <c r="L150" t="inlineStr"/>
      <c r="N150" t="inlineStr">
        <is>
          <t>2,7 x 102</t>
        </is>
      </c>
      <c r="O150" t="inlineStr">
        <is>
          <t>NMP/100 mL</t>
        </is>
      </c>
      <c r="P150" t="inlineStr">
        <is>
          <t>NMP</t>
        </is>
      </c>
      <c r="Q150" t="inlineStr">
        <is>
          <t>SM 9221 C</t>
        </is>
      </c>
      <c r="R150" t="inlineStr">
        <is>
          <t>2026-08-21</t>
        </is>
      </c>
      <c r="S150" t="inlineStr">
        <is>
          <t>Laboratorio de Ingeniería Ambiental, Facultad de Ingeniería, UNAL Bogotá (LIA)</t>
        </is>
      </c>
      <c r="T150" t="inlineStr">
        <is>
          <t>40017</t>
        </is>
      </c>
      <c r="U150" t="inlineStr">
        <is>
          <t>PDF ANALISIS_40017.pdf (informe original)</t>
        </is>
      </c>
      <c r="V150" t="inlineStr">
        <is>
          <t>hora_no_reportada;grupo_punto_por_similitud_quimica</t>
        </is>
      </c>
    </row>
    <row r="151">
      <c r="A151" t="inlineStr">
        <is>
          <t>Leticia</t>
        </is>
      </c>
      <c r="B151" t="inlineStr">
        <is>
          <t>UN-LE-037</t>
        </is>
      </c>
      <c r="C151" t="inlineStr">
        <is>
          <t>Agua cruda, subterránea, pozo, Universidad Nacional Amazonia</t>
        </is>
      </c>
      <c r="D151" t="inlineStr">
        <is>
          <t>POZO_NUMAE</t>
        </is>
      </c>
      <c r="E151" t="inlineStr">
        <is>
          <t>subterránea (pozo)</t>
        </is>
      </c>
      <c r="F151" t="inlineStr">
        <is>
          <t>2026-08-20</t>
        </is>
      </c>
      <c r="G151" t="inlineStr">
        <is>
          <t>2026-08-20</t>
        </is>
      </c>
      <c r="H151" t="inlineStr">
        <is>
          <t>2026-08</t>
        </is>
      </c>
      <c r="I151" t="inlineStr">
        <is>
          <t>e_coli</t>
        </is>
      </c>
      <c r="J151" t="inlineStr">
        <is>
          <t>E. coli</t>
        </is>
      </c>
      <c r="K151" t="n">
        <v>130</v>
      </c>
      <c r="L151" t="inlineStr"/>
      <c r="N151" t="inlineStr">
        <is>
          <t>1,3 x 102</t>
        </is>
      </c>
      <c r="O151" t="inlineStr">
        <is>
          <t>NMP/100 mL</t>
        </is>
      </c>
      <c r="P151" t="inlineStr">
        <is>
          <t>NMP</t>
        </is>
      </c>
      <c r="Q151" t="inlineStr">
        <is>
          <t>SM 9221 C</t>
        </is>
      </c>
      <c r="R151" t="inlineStr">
        <is>
          <t>2026-08-21</t>
        </is>
      </c>
      <c r="S151" t="inlineStr">
        <is>
          <t>Laboratorio de Ingeniería Ambiental, Facultad de Ingeniería, UNAL Bogotá (LIA)</t>
        </is>
      </c>
      <c r="T151" t="inlineStr">
        <is>
          <t>40017</t>
        </is>
      </c>
      <c r="U151" t="inlineStr">
        <is>
          <t>PDF ANALISIS_40017.pdf (informe original)</t>
        </is>
      </c>
      <c r="V151" t="inlineStr">
        <is>
          <t>hora_no_reportada;grupo_punto_por_similitud_quimica</t>
        </is>
      </c>
    </row>
    <row r="152">
      <c r="A152" t="inlineStr">
        <is>
          <t>Leticia</t>
        </is>
      </c>
      <c r="B152" t="inlineStr">
        <is>
          <t>SIN-CODIGO (Pozo UN)</t>
        </is>
      </c>
      <c r="C152" t="inlineStr">
        <is>
          <t>Pozo UN</t>
        </is>
      </c>
      <c r="D152" t="inlineStr">
        <is>
          <t>POZO_UN</t>
        </is>
      </c>
      <c r="E152" t="inlineStr">
        <is>
          <t>subterránea (pozo)</t>
        </is>
      </c>
      <c r="F152" t="inlineStr">
        <is>
          <t>2026-01-29</t>
        </is>
      </c>
      <c r="G152" t="inlineStr">
        <is>
          <t>2026-01-29</t>
        </is>
      </c>
      <c r="H152" t="inlineStr">
        <is>
          <t>2026-01</t>
        </is>
      </c>
      <c r="I152" t="inlineStr">
        <is>
          <t>turbiedad</t>
        </is>
      </c>
      <c r="J152" t="inlineStr">
        <is>
          <t>Turbiedad</t>
        </is>
      </c>
      <c r="K152" t="n">
        <v>1.74</v>
      </c>
      <c r="L152" t="inlineStr"/>
      <c r="N152" t="inlineStr">
        <is>
          <t>1,74</t>
        </is>
      </c>
      <c r="O152" t="inlineStr">
        <is>
          <t>UNT</t>
        </is>
      </c>
      <c r="P152" t="inlineStr">
        <is>
          <t>turbiedad nefelométrica</t>
        </is>
      </c>
      <c r="Q152" t="inlineStr">
        <is>
          <t>SM 2130 B</t>
        </is>
      </c>
      <c r="S152" t="inlineStr">
        <is>
          <t>Laboratorio de Ingeniería Ambiental, Facultad de Ingeniería, UNAL Bogotá (LIA) (supuesto)</t>
        </is>
      </c>
      <c r="T152" t="inlineStr">
        <is>
          <t>39741</t>
        </is>
      </c>
      <c r="U152" t="inlineStr">
        <is>
          <t>Fisicoquimicos_resultados.xlsx, Hoja 2 (transcripción del semillero)</t>
        </is>
      </c>
      <c r="V152" t="inlineStr">
        <is>
          <t>fuente_secundaria_sin_pdf;fecha_no_verificada</t>
        </is>
      </c>
    </row>
    <row r="153">
      <c r="A153" t="inlineStr">
        <is>
          <t>Leticia</t>
        </is>
      </c>
      <c r="B153" t="inlineStr">
        <is>
          <t>SIN-CODIGO (Pozo UN)</t>
        </is>
      </c>
      <c r="C153" t="inlineStr">
        <is>
          <t>Pozo UN</t>
        </is>
      </c>
      <c r="D153" t="inlineStr">
        <is>
          <t>POZO_UN</t>
        </is>
      </c>
      <c r="E153" t="inlineStr">
        <is>
          <t>subterránea (pozo)</t>
        </is>
      </c>
      <c r="F153" t="inlineStr">
        <is>
          <t>2026-01-29</t>
        </is>
      </c>
      <c r="G153" t="inlineStr">
        <is>
          <t>2026-01-29</t>
        </is>
      </c>
      <c r="H153" t="inlineStr">
        <is>
          <t>2026-01</t>
        </is>
      </c>
      <c r="I153" t="inlineStr">
        <is>
          <t>color_aparente</t>
        </is>
      </c>
      <c r="J153" t="inlineStr">
        <is>
          <t>Color Aparente</t>
        </is>
      </c>
      <c r="K153" t="n">
        <v>10</v>
      </c>
      <c r="L153" t="inlineStr"/>
      <c r="N153" t="inlineStr">
        <is>
          <t>10,0</t>
        </is>
      </c>
      <c r="O153" t="inlineStr">
        <is>
          <t>UPC</t>
        </is>
      </c>
      <c r="P153" t="inlineStr">
        <is>
          <t>Pt-Co, sin filtrar</t>
        </is>
      </c>
      <c r="Q153" t="inlineStr">
        <is>
          <t>SM 2120 B</t>
        </is>
      </c>
      <c r="S153" t="inlineStr">
        <is>
          <t>Laboratorio de Ingeniería Ambiental, Facultad de Ingeniería, UNAL Bogotá (LIA) (supuesto)</t>
        </is>
      </c>
      <c r="T153" t="inlineStr">
        <is>
          <t>39741</t>
        </is>
      </c>
      <c r="U153" t="inlineStr">
        <is>
          <t>Fisicoquimicos_resultados.xlsx, Hoja 2 (transcripción del semillero)</t>
        </is>
      </c>
      <c r="V153" t="inlineStr">
        <is>
          <t>fuente_secundaria_sin_pdf;fecha_no_verificada</t>
        </is>
      </c>
    </row>
    <row r="154">
      <c r="A154" t="inlineStr">
        <is>
          <t>Leticia</t>
        </is>
      </c>
      <c r="B154" t="inlineStr">
        <is>
          <t>SIN-CODIGO (Pozo UN)</t>
        </is>
      </c>
      <c r="C154" t="inlineStr">
        <is>
          <t>Pozo UN</t>
        </is>
      </c>
      <c r="D154" t="inlineStr">
        <is>
          <t>POZO_UN</t>
        </is>
      </c>
      <c r="E154" t="inlineStr">
        <is>
          <t>subterránea (pozo)</t>
        </is>
      </c>
      <c r="F154" t="inlineStr">
        <is>
          <t>2026-01-29</t>
        </is>
      </c>
      <c r="G154" t="inlineStr">
        <is>
          <t>2026-01-29</t>
        </is>
      </c>
      <c r="H154" t="inlineStr">
        <is>
          <t>2026-01</t>
        </is>
      </c>
      <c r="I154" t="inlineStr">
        <is>
          <t>ph</t>
        </is>
      </c>
      <c r="J154" t="inlineStr">
        <is>
          <t>pH</t>
        </is>
      </c>
      <c r="K154" t="n">
        <v>6.15</v>
      </c>
      <c r="L154" t="inlineStr"/>
      <c r="N154" t="inlineStr">
        <is>
          <t>6,15</t>
        </is>
      </c>
      <c r="O154" t="inlineStr">
        <is>
          <t>Unidades</t>
        </is>
      </c>
      <c r="P154" t="inlineStr">
        <is>
          <t>pH</t>
        </is>
      </c>
      <c r="Q154" t="inlineStr">
        <is>
          <t>SM 4500 H+B</t>
        </is>
      </c>
      <c r="S154" t="inlineStr">
        <is>
          <t>Laboratorio de Ingeniería Ambiental, Facultad de Ingeniería, UNAL Bogotá (LIA) (supuesto)</t>
        </is>
      </c>
      <c r="T154" t="inlineStr">
        <is>
          <t>39741</t>
        </is>
      </c>
      <c r="U154" t="inlineStr">
        <is>
          <t>Fisicoquimicos_resultados.xlsx, Hoja 2 (transcripción del semillero)</t>
        </is>
      </c>
      <c r="V154" t="inlineStr">
        <is>
          <t>fuente_secundaria_sin_pdf;fecha_no_verificada</t>
        </is>
      </c>
    </row>
    <row r="155">
      <c r="A155" t="inlineStr">
        <is>
          <t>Leticia</t>
        </is>
      </c>
      <c r="B155" t="inlineStr">
        <is>
          <t>SIN-CODIGO (Pozo UN)</t>
        </is>
      </c>
      <c r="C155" t="inlineStr">
        <is>
          <t>Pozo UN</t>
        </is>
      </c>
      <c r="D155" t="inlineStr">
        <is>
          <t>POZO_UN</t>
        </is>
      </c>
      <c r="E155" t="inlineStr">
        <is>
          <t>subterránea (pozo)</t>
        </is>
      </c>
      <c r="F155" t="inlineStr">
        <is>
          <t>2026-01-29</t>
        </is>
      </c>
      <c r="G155" t="inlineStr">
        <is>
          <t>2026-01-29</t>
        </is>
      </c>
      <c r="H155" t="inlineStr">
        <is>
          <t>2026-01</t>
        </is>
      </c>
      <c r="I155" t="inlineStr">
        <is>
          <t>conductividad</t>
        </is>
      </c>
      <c r="J155" t="inlineStr">
        <is>
          <t>Conductividad Específica</t>
        </is>
      </c>
      <c r="K155" t="n">
        <v>39.4</v>
      </c>
      <c r="L155" t="inlineStr"/>
      <c r="N155" t="inlineStr">
        <is>
          <t>39,4</t>
        </is>
      </c>
      <c r="O155" t="inlineStr">
        <is>
          <t>µS/cm 25 °C</t>
        </is>
      </c>
      <c r="P155" t="inlineStr">
        <is>
          <t>CE a 25 °C</t>
        </is>
      </c>
      <c r="Q155" t="inlineStr">
        <is>
          <t>SM 2510 B</t>
        </is>
      </c>
      <c r="S155" t="inlineStr">
        <is>
          <t>Laboratorio de Ingeniería Ambiental, Facultad de Ingeniería, UNAL Bogotá (LIA) (supuesto)</t>
        </is>
      </c>
      <c r="T155" t="inlineStr">
        <is>
          <t>39741</t>
        </is>
      </c>
      <c r="U155" t="inlineStr">
        <is>
          <t>Fisicoquimicos_resultados.xlsx, Hoja 2 (transcripción del semillero)</t>
        </is>
      </c>
      <c r="V155" t="inlineStr">
        <is>
          <t>fuente_secundaria_sin_pdf;fecha_no_verificada</t>
        </is>
      </c>
    </row>
    <row r="156">
      <c r="A156" t="inlineStr">
        <is>
          <t>Leticia</t>
        </is>
      </c>
      <c r="B156" t="inlineStr">
        <is>
          <t>SIN-CODIGO (Pozo UN)</t>
        </is>
      </c>
      <c r="C156" t="inlineStr">
        <is>
          <t>Pozo UN</t>
        </is>
      </c>
      <c r="D156" t="inlineStr">
        <is>
          <t>POZO_UN</t>
        </is>
      </c>
      <c r="E156" t="inlineStr">
        <is>
          <t>subterránea (pozo)</t>
        </is>
      </c>
      <c r="F156" t="inlineStr">
        <is>
          <t>2026-01-29</t>
        </is>
      </c>
      <c r="G156" t="inlineStr">
        <is>
          <t>2026-01-29</t>
        </is>
      </c>
      <c r="H156" t="inlineStr">
        <is>
          <t>2026-01</t>
        </is>
      </c>
      <c r="I156" t="inlineStr">
        <is>
          <t>alcalinidad</t>
        </is>
      </c>
      <c r="J156" t="inlineStr">
        <is>
          <t>Alcalinidad total</t>
        </is>
      </c>
      <c r="K156" t="n">
        <v>18</v>
      </c>
      <c r="L156" t="inlineStr"/>
      <c r="N156" t="inlineStr">
        <is>
          <t>18,0</t>
        </is>
      </c>
      <c r="O156" t="inlineStr">
        <is>
          <t>mg/L CaCO3</t>
        </is>
      </c>
      <c r="P156" t="inlineStr">
        <is>
          <t>CaCO3</t>
        </is>
      </c>
      <c r="Q156" t="inlineStr">
        <is>
          <t>SM 2320 (Indicador)</t>
        </is>
      </c>
      <c r="S156" t="inlineStr">
        <is>
          <t>Laboratorio de Ingeniería Ambiental, Facultad de Ingeniería, UNAL Bogotá (LIA) (supuesto)</t>
        </is>
      </c>
      <c r="T156" t="inlineStr">
        <is>
          <t>39741</t>
        </is>
      </c>
      <c r="U156" t="inlineStr">
        <is>
          <t>Fisicoquimicos_resultados.xlsx, Hoja 2 (transcripción del semillero)</t>
        </is>
      </c>
      <c r="V156" t="inlineStr">
        <is>
          <t>fuente_secundaria_sin_pdf;fecha_no_verificada</t>
        </is>
      </c>
    </row>
    <row r="157">
      <c r="A157" t="inlineStr">
        <is>
          <t>Leticia</t>
        </is>
      </c>
      <c r="B157" t="inlineStr">
        <is>
          <t>SIN-CODIGO (Pozo UN)</t>
        </is>
      </c>
      <c r="C157" t="inlineStr">
        <is>
          <t>Pozo UN</t>
        </is>
      </c>
      <c r="D157" t="inlineStr">
        <is>
          <t>POZO_UN</t>
        </is>
      </c>
      <c r="E157" t="inlineStr">
        <is>
          <t>subterránea (pozo)</t>
        </is>
      </c>
      <c r="F157" t="inlineStr">
        <is>
          <t>2026-01-29</t>
        </is>
      </c>
      <c r="G157" t="inlineStr">
        <is>
          <t>2026-01-29</t>
        </is>
      </c>
      <c r="H157" t="inlineStr">
        <is>
          <t>2026-01</t>
        </is>
      </c>
      <c r="I157" t="inlineStr">
        <is>
          <t>acidez</t>
        </is>
      </c>
      <c r="J157" t="inlineStr">
        <is>
          <t>Acidez total</t>
        </is>
      </c>
      <c r="K157" t="n">
        <v>6</v>
      </c>
      <c r="L157" t="inlineStr"/>
      <c r="N157" t="inlineStr">
        <is>
          <t>6,0</t>
        </is>
      </c>
      <c r="O157" t="inlineStr">
        <is>
          <t>mg/L CaCO3</t>
        </is>
      </c>
      <c r="P157" t="inlineStr">
        <is>
          <t>CaCO3</t>
        </is>
      </c>
      <c r="Q157" t="inlineStr">
        <is>
          <t>SM 2310 B</t>
        </is>
      </c>
      <c r="S157" t="inlineStr">
        <is>
          <t>Laboratorio de Ingeniería Ambiental, Facultad de Ingeniería, UNAL Bogotá (LIA) (supuesto)</t>
        </is>
      </c>
      <c r="T157" t="inlineStr">
        <is>
          <t>39741</t>
        </is>
      </c>
      <c r="U157" t="inlineStr">
        <is>
          <t>Fisicoquimicos_resultados.xlsx, Hoja 2 (transcripción del semillero)</t>
        </is>
      </c>
      <c r="V157" t="inlineStr">
        <is>
          <t>fuente_secundaria_sin_pdf;fecha_no_verificada</t>
        </is>
      </c>
    </row>
    <row r="158">
      <c r="A158" t="inlineStr">
        <is>
          <t>Leticia</t>
        </is>
      </c>
      <c r="B158" t="inlineStr">
        <is>
          <t>SIN-CODIGO (Pozo UN)</t>
        </is>
      </c>
      <c r="C158" t="inlineStr">
        <is>
          <t>Pozo UN</t>
        </is>
      </c>
      <c r="D158" t="inlineStr">
        <is>
          <t>POZO_UN</t>
        </is>
      </c>
      <c r="E158" t="inlineStr">
        <is>
          <t>subterránea (pozo)</t>
        </is>
      </c>
      <c r="F158" t="inlineStr">
        <is>
          <t>2026-01-29</t>
        </is>
      </c>
      <c r="G158" t="inlineStr">
        <is>
          <t>2026-01-29</t>
        </is>
      </c>
      <c r="H158" t="inlineStr">
        <is>
          <t>2026-01</t>
        </is>
      </c>
      <c r="I158" t="inlineStr">
        <is>
          <t>dureza_total</t>
        </is>
      </c>
      <c r="J158" t="inlineStr">
        <is>
          <t>Dureza total</t>
        </is>
      </c>
      <c r="K158" t="n">
        <v>10</v>
      </c>
      <c r="L158" t="inlineStr"/>
      <c r="N158" t="inlineStr">
        <is>
          <t>10,0</t>
        </is>
      </c>
      <c r="O158" t="inlineStr">
        <is>
          <t>mg/L CaCO3</t>
        </is>
      </c>
      <c r="P158" t="inlineStr">
        <is>
          <t>CaCO3</t>
        </is>
      </c>
      <c r="Q158" t="inlineStr">
        <is>
          <t>SM 2340 C</t>
        </is>
      </c>
      <c r="S158" t="inlineStr">
        <is>
          <t>Laboratorio de Ingeniería Ambiental, Facultad de Ingeniería, UNAL Bogotá (LIA) (supuesto)</t>
        </is>
      </c>
      <c r="T158" t="inlineStr">
        <is>
          <t>39741</t>
        </is>
      </c>
      <c r="U158" t="inlineStr">
        <is>
          <t>Fisicoquimicos_resultados.xlsx, Hoja 2 (transcripción del semillero)</t>
        </is>
      </c>
      <c r="V158" t="inlineStr">
        <is>
          <t>fuente_secundaria_sin_pdf;fecha_no_verificada</t>
        </is>
      </c>
    </row>
    <row r="159">
      <c r="A159" t="inlineStr">
        <is>
          <t>Leticia</t>
        </is>
      </c>
      <c r="B159" t="inlineStr">
        <is>
          <t>SIN-CODIGO (Pozo UN)</t>
        </is>
      </c>
      <c r="C159" t="inlineStr">
        <is>
          <t>Pozo UN</t>
        </is>
      </c>
      <c r="D159" t="inlineStr">
        <is>
          <t>POZO_UN</t>
        </is>
      </c>
      <c r="E159" t="inlineStr">
        <is>
          <t>subterránea (pozo)</t>
        </is>
      </c>
      <c r="F159" t="inlineStr">
        <is>
          <t>2026-01-29</t>
        </is>
      </c>
      <c r="G159" t="inlineStr">
        <is>
          <t>2026-01-29</t>
        </is>
      </c>
      <c r="H159" t="inlineStr">
        <is>
          <t>2026-01</t>
        </is>
      </c>
      <c r="I159" t="inlineStr">
        <is>
          <t>dureza_calcica</t>
        </is>
      </c>
      <c r="J159" t="inlineStr">
        <is>
          <t>Dureza Cálcica</t>
        </is>
      </c>
      <c r="K159" t="n">
        <v>5</v>
      </c>
      <c r="L159" t="inlineStr">
        <is>
          <t>&lt;</t>
        </is>
      </c>
      <c r="M159" t="n">
        <v>5</v>
      </c>
      <c r="N159" t="inlineStr">
        <is>
          <t>&lt;5</t>
        </is>
      </c>
      <c r="O159" t="inlineStr">
        <is>
          <t>mg/L CaCO3</t>
        </is>
      </c>
      <c r="P159" t="inlineStr">
        <is>
          <t>CaCO3</t>
        </is>
      </c>
      <c r="Q159" t="inlineStr">
        <is>
          <t>SM 3500-Ca,B</t>
        </is>
      </c>
      <c r="S159" t="inlineStr">
        <is>
          <t>Laboratorio de Ingeniería Ambiental, Facultad de Ingeniería, UNAL Bogotá (LIA) (supuesto)</t>
        </is>
      </c>
      <c r="T159" t="inlineStr">
        <is>
          <t>39741</t>
        </is>
      </c>
      <c r="U159" t="inlineStr">
        <is>
          <t>Fisicoquimicos_resultados.xlsx, Hoja 2 (transcripción del semillero)</t>
        </is>
      </c>
      <c r="V159" t="inlineStr">
        <is>
          <t>fuente_secundaria_sin_pdf;fecha_no_verificada;signo_&lt;_inferido_de_LD/2</t>
        </is>
      </c>
    </row>
    <row r="160">
      <c r="A160" t="inlineStr">
        <is>
          <t>Leticia</t>
        </is>
      </c>
      <c r="B160" t="inlineStr">
        <is>
          <t>SIN-CODIGO (Pozo UN)</t>
        </is>
      </c>
      <c r="C160" t="inlineStr">
        <is>
          <t>Pozo UN</t>
        </is>
      </c>
      <c r="D160" t="inlineStr">
        <is>
          <t>POZO_UN</t>
        </is>
      </c>
      <c r="E160" t="inlineStr">
        <is>
          <t>subterránea (pozo)</t>
        </is>
      </c>
      <c r="F160" t="inlineStr">
        <is>
          <t>2026-01-29</t>
        </is>
      </c>
      <c r="G160" t="inlineStr">
        <is>
          <t>2026-01-29</t>
        </is>
      </c>
      <c r="H160" t="inlineStr">
        <is>
          <t>2026-01</t>
        </is>
      </c>
      <c r="I160" t="inlineStr">
        <is>
          <t>dureza_magnesica</t>
        </is>
      </c>
      <c r="J160" t="inlineStr">
        <is>
          <t>Dureza Magnésica</t>
        </is>
      </c>
      <c r="K160" t="n">
        <v>8</v>
      </c>
      <c r="L160" t="inlineStr"/>
      <c r="N160" t="inlineStr">
        <is>
          <t>8,0</t>
        </is>
      </c>
      <c r="O160" t="inlineStr">
        <is>
          <t>mg/L CaCO3</t>
        </is>
      </c>
      <c r="P160" t="inlineStr">
        <is>
          <t>CaCO3</t>
        </is>
      </c>
      <c r="Q160" t="inlineStr">
        <is>
          <t>SM 3500-Mg,B</t>
        </is>
      </c>
      <c r="S160" t="inlineStr">
        <is>
          <t>Laboratorio de Ingeniería Ambiental, Facultad de Ingeniería, UNAL Bogotá (LIA) (supuesto)</t>
        </is>
      </c>
      <c r="T160" t="inlineStr">
        <is>
          <t>39741</t>
        </is>
      </c>
      <c r="U160" t="inlineStr">
        <is>
          <t>Fisicoquimicos_resultados.xlsx, Hoja 2 (transcripción del semillero)</t>
        </is>
      </c>
      <c r="V160" t="inlineStr">
        <is>
          <t>fuente_secundaria_sin_pdf;fecha_no_verificada</t>
        </is>
      </c>
    </row>
    <row r="161">
      <c r="A161" t="inlineStr">
        <is>
          <t>Leticia</t>
        </is>
      </c>
      <c r="B161" t="inlineStr">
        <is>
          <t>SIN-CODIGO (Pozo UN)</t>
        </is>
      </c>
      <c r="C161" t="inlineStr">
        <is>
          <t>Pozo UN</t>
        </is>
      </c>
      <c r="D161" t="inlineStr">
        <is>
          <t>POZO_UN</t>
        </is>
      </c>
      <c r="E161" t="inlineStr">
        <is>
          <t>subterránea (pozo)</t>
        </is>
      </c>
      <c r="F161" t="inlineStr">
        <is>
          <t>2026-01-29</t>
        </is>
      </c>
      <c r="G161" t="inlineStr">
        <is>
          <t>2026-01-29</t>
        </is>
      </c>
      <c r="H161" t="inlineStr">
        <is>
          <t>2026-01</t>
        </is>
      </c>
      <c r="I161" t="inlineStr">
        <is>
          <t>calcio</t>
        </is>
      </c>
      <c r="J161" t="inlineStr">
        <is>
          <t>Calcio por titulación</t>
        </is>
      </c>
      <c r="K161" t="n">
        <v>1</v>
      </c>
      <c r="L161" t="inlineStr"/>
      <c r="N161" t="inlineStr">
        <is>
          <t>1,0</t>
        </is>
      </c>
      <c r="O161" t="inlineStr">
        <is>
          <t>mg/L Ca</t>
        </is>
      </c>
      <c r="P161" t="inlineStr">
        <is>
          <t>Ca</t>
        </is>
      </c>
      <c r="Q161" t="inlineStr">
        <is>
          <t>SM 3500-Ca,B</t>
        </is>
      </c>
      <c r="S161" t="inlineStr">
        <is>
          <t>Laboratorio de Ingeniería Ambiental, Facultad de Ingeniería, UNAL Bogotá (LIA) (supuesto)</t>
        </is>
      </c>
      <c r="T161" t="inlineStr">
        <is>
          <t>39741</t>
        </is>
      </c>
      <c r="U161" t="inlineStr">
        <is>
          <t>Fisicoquimicos_resultados.xlsx, Hoja 2 (transcripción del semillero)</t>
        </is>
      </c>
      <c r="V161" t="inlineStr">
        <is>
          <t>fuente_secundaria_sin_pdf;fecha_no_verificada</t>
        </is>
      </c>
    </row>
    <row r="162">
      <c r="A162" t="inlineStr">
        <is>
          <t>Leticia</t>
        </is>
      </c>
      <c r="B162" t="inlineStr">
        <is>
          <t>SIN-CODIGO (Pozo UN)</t>
        </is>
      </c>
      <c r="C162" t="inlineStr">
        <is>
          <t>Pozo UN</t>
        </is>
      </c>
      <c r="D162" t="inlineStr">
        <is>
          <t>POZO_UN</t>
        </is>
      </c>
      <c r="E162" t="inlineStr">
        <is>
          <t>subterránea (pozo)</t>
        </is>
      </c>
      <c r="F162" t="inlineStr">
        <is>
          <t>2026-01-29</t>
        </is>
      </c>
      <c r="G162" t="inlineStr">
        <is>
          <t>2026-01-29</t>
        </is>
      </c>
      <c r="H162" t="inlineStr">
        <is>
          <t>2026-01</t>
        </is>
      </c>
      <c r="I162" t="inlineStr">
        <is>
          <t>magnesio</t>
        </is>
      </c>
      <c r="J162" t="inlineStr">
        <is>
          <t>Magnesio</t>
        </is>
      </c>
      <c r="K162" t="n">
        <v>2</v>
      </c>
      <c r="L162" t="inlineStr"/>
      <c r="N162" t="inlineStr">
        <is>
          <t>2,0</t>
        </is>
      </c>
      <c r="O162" t="inlineStr">
        <is>
          <t>mg/L Mg</t>
        </is>
      </c>
      <c r="P162" t="inlineStr">
        <is>
          <t>Mg</t>
        </is>
      </c>
      <c r="Q162" t="inlineStr">
        <is>
          <t>SM 3500-Mg,B</t>
        </is>
      </c>
      <c r="S162" t="inlineStr">
        <is>
          <t>Laboratorio de Ingeniería Ambiental, Facultad de Ingeniería, UNAL Bogotá (LIA) (supuesto)</t>
        </is>
      </c>
      <c r="T162" t="inlineStr">
        <is>
          <t>39741</t>
        </is>
      </c>
      <c r="U162" t="inlineStr">
        <is>
          <t>Fisicoquimicos_resultados.xlsx, Hoja 2 (transcripción del semillero)</t>
        </is>
      </c>
      <c r="V162" t="inlineStr">
        <is>
          <t>fuente_secundaria_sin_pdf;fecha_no_verificada</t>
        </is>
      </c>
    </row>
    <row r="163">
      <c r="A163" t="inlineStr">
        <is>
          <t>Leticia</t>
        </is>
      </c>
      <c r="B163" t="inlineStr">
        <is>
          <t>SIN-CODIGO (Pozo UN)</t>
        </is>
      </c>
      <c r="C163" t="inlineStr">
        <is>
          <t>Pozo UN</t>
        </is>
      </c>
      <c r="D163" t="inlineStr">
        <is>
          <t>POZO_UN</t>
        </is>
      </c>
      <c r="E163" t="inlineStr">
        <is>
          <t>subterránea (pozo)</t>
        </is>
      </c>
      <c r="F163" t="inlineStr">
        <is>
          <t>2026-01-29</t>
        </is>
      </c>
      <c r="G163" t="inlineStr">
        <is>
          <t>2026-01-29</t>
        </is>
      </c>
      <c r="H163" t="inlineStr">
        <is>
          <t>2026-01</t>
        </is>
      </c>
      <c r="I163" t="inlineStr">
        <is>
          <t>hierro</t>
        </is>
      </c>
      <c r="J163" t="inlineStr">
        <is>
          <t>Hierro</t>
        </is>
      </c>
      <c r="K163" t="n">
        <v>0.1</v>
      </c>
      <c r="L163" t="inlineStr">
        <is>
          <t>&lt;</t>
        </is>
      </c>
      <c r="M163" t="n">
        <v>0.1</v>
      </c>
      <c r="N163" t="inlineStr">
        <is>
          <t>&lt;0,1</t>
        </is>
      </c>
      <c r="O163" t="inlineStr">
        <is>
          <t>mg/L Fe +3</t>
        </is>
      </c>
      <c r="P163" t="inlineStr">
        <is>
          <t>Fe total</t>
        </is>
      </c>
      <c r="Q163" t="inlineStr">
        <is>
          <t>SM 3111 B</t>
        </is>
      </c>
      <c r="S163" t="inlineStr">
        <is>
          <t>Laboratorio de Ingeniería Ambiental, Facultad de Ingeniería, UNAL Bogotá (LIA) (supuesto)</t>
        </is>
      </c>
      <c r="T163" t="inlineStr">
        <is>
          <t>39741</t>
        </is>
      </c>
      <c r="U163" t="inlineStr">
        <is>
          <t>Fisicoquimicos_resultados.xlsx, Hoja 2 (transcripción del semillero)</t>
        </is>
      </c>
      <c r="V163" t="inlineStr">
        <is>
          <t>fuente_secundaria_sin_pdf;fecha_no_verificada;signo_&lt;_inferido_de_LD/2</t>
        </is>
      </c>
    </row>
    <row r="164">
      <c r="A164" t="inlineStr">
        <is>
          <t>Leticia</t>
        </is>
      </c>
      <c r="B164" t="inlineStr">
        <is>
          <t>SIN-CODIGO (Pozo UN)</t>
        </is>
      </c>
      <c r="C164" t="inlineStr">
        <is>
          <t>Pozo UN</t>
        </is>
      </c>
      <c r="D164" t="inlineStr">
        <is>
          <t>POZO_UN</t>
        </is>
      </c>
      <c r="E164" t="inlineStr">
        <is>
          <t>subterránea (pozo)</t>
        </is>
      </c>
      <c r="F164" t="inlineStr">
        <is>
          <t>2026-01-29</t>
        </is>
      </c>
      <c r="G164" t="inlineStr">
        <is>
          <t>2026-01-29</t>
        </is>
      </c>
      <c r="H164" t="inlineStr">
        <is>
          <t>2026-01</t>
        </is>
      </c>
      <c r="I164" t="inlineStr">
        <is>
          <t>manganeso</t>
        </is>
      </c>
      <c r="J164" t="inlineStr">
        <is>
          <t>Manganeso</t>
        </is>
      </c>
      <c r="K164" t="n">
        <v>0.05</v>
      </c>
      <c r="L164" t="inlineStr">
        <is>
          <t>&lt;</t>
        </is>
      </c>
      <c r="M164" t="n">
        <v>0.05</v>
      </c>
      <c r="N164" t="inlineStr">
        <is>
          <t>&lt;0,05</t>
        </is>
      </c>
      <c r="O164" t="inlineStr">
        <is>
          <t>mg/L Mn +7</t>
        </is>
      </c>
      <c r="P164" t="inlineStr">
        <is>
          <t>Mn total</t>
        </is>
      </c>
      <c r="Q164" t="inlineStr">
        <is>
          <t>SM 3111 B</t>
        </is>
      </c>
      <c r="S164" t="inlineStr">
        <is>
          <t>Laboratorio de Ingeniería Ambiental, Facultad de Ingeniería, UNAL Bogotá (LIA) (supuesto)</t>
        </is>
      </c>
      <c r="T164" t="inlineStr">
        <is>
          <t>39741</t>
        </is>
      </c>
      <c r="U164" t="inlineStr">
        <is>
          <t>Fisicoquimicos_resultados.xlsx, Hoja 2 (transcripción del semillero)</t>
        </is>
      </c>
      <c r="V164" t="inlineStr">
        <is>
          <t>fuente_secundaria_sin_pdf;fecha_no_verificada;signo_&lt;_inferido_de_LD/2</t>
        </is>
      </c>
    </row>
    <row r="165">
      <c r="A165" t="inlineStr">
        <is>
          <t>Leticia</t>
        </is>
      </c>
      <c r="B165" t="inlineStr">
        <is>
          <t>SIN-CODIGO (Pozo UN)</t>
        </is>
      </c>
      <c r="C165" t="inlineStr">
        <is>
          <t>Pozo UN</t>
        </is>
      </c>
      <c r="D165" t="inlineStr">
        <is>
          <t>POZO_UN</t>
        </is>
      </c>
      <c r="E165" t="inlineStr">
        <is>
          <t>subterránea (pozo)</t>
        </is>
      </c>
      <c r="F165" t="inlineStr">
        <is>
          <t>2026-01-29</t>
        </is>
      </c>
      <c r="G165" t="inlineStr">
        <is>
          <t>2026-01-29</t>
        </is>
      </c>
      <c r="H165" t="inlineStr">
        <is>
          <t>2026-01</t>
        </is>
      </c>
      <c r="I165" t="inlineStr">
        <is>
          <t>cot</t>
        </is>
      </c>
      <c r="J165" t="inlineStr">
        <is>
          <t>Carbono Orgánico Total</t>
        </is>
      </c>
      <c r="K165" t="n">
        <v>1</v>
      </c>
      <c r="L165" t="inlineStr">
        <is>
          <t>&lt;</t>
        </is>
      </c>
      <c r="M165" t="n">
        <v>1</v>
      </c>
      <c r="N165" t="inlineStr">
        <is>
          <t>&lt;1,0</t>
        </is>
      </c>
      <c r="O165" t="inlineStr">
        <is>
          <t>mg/L C</t>
        </is>
      </c>
      <c r="P165" t="inlineStr">
        <is>
          <t>C</t>
        </is>
      </c>
      <c r="Q165" t="inlineStr">
        <is>
          <t>SM 5310 B</t>
        </is>
      </c>
      <c r="S165" t="inlineStr">
        <is>
          <t>Laboratorio de Ingeniería Ambiental, Facultad de Ingeniería, UNAL Bogotá (LIA) (supuesto)</t>
        </is>
      </c>
      <c r="T165" t="inlineStr">
        <is>
          <t>39741</t>
        </is>
      </c>
      <c r="U165" t="inlineStr">
        <is>
          <t>Fisicoquimicos_resultados.xlsx, Hoja 2 (transcripción del semillero)</t>
        </is>
      </c>
      <c r="V165" t="inlineStr">
        <is>
          <t>fuente_secundaria_sin_pdf;fecha_no_verificada;signo_&lt;_inferido_de_LD/2</t>
        </is>
      </c>
    </row>
    <row r="166">
      <c r="A166" t="inlineStr">
        <is>
          <t>Leticia</t>
        </is>
      </c>
      <c r="B166" t="inlineStr">
        <is>
          <t>SIN-CODIGO (Pozo UN)</t>
        </is>
      </c>
      <c r="C166" t="inlineStr">
        <is>
          <t>Pozo UN</t>
        </is>
      </c>
      <c r="D166" t="inlineStr">
        <is>
          <t>POZO_UN</t>
        </is>
      </c>
      <c r="E166" t="inlineStr">
        <is>
          <t>subterránea (pozo)</t>
        </is>
      </c>
      <c r="F166" t="inlineStr">
        <is>
          <t>2026-01-29</t>
        </is>
      </c>
      <c r="G166" t="inlineStr">
        <is>
          <t>2026-01-29</t>
        </is>
      </c>
      <c r="H166" t="inlineStr">
        <is>
          <t>2026-01</t>
        </is>
      </c>
      <c r="I166" t="inlineStr">
        <is>
          <t>zinc</t>
        </is>
      </c>
      <c r="J166" t="inlineStr">
        <is>
          <t>Zinc</t>
        </is>
      </c>
      <c r="K166" t="n">
        <v>0.05</v>
      </c>
      <c r="L166" t="inlineStr">
        <is>
          <t>&lt;</t>
        </is>
      </c>
      <c r="M166" t="n">
        <v>0.05</v>
      </c>
      <c r="N166" t="inlineStr">
        <is>
          <t>&lt;0,05</t>
        </is>
      </c>
      <c r="O166" t="inlineStr">
        <is>
          <t>mg/L Zn</t>
        </is>
      </c>
      <c r="P166" t="inlineStr">
        <is>
          <t>Zn</t>
        </is>
      </c>
      <c r="Q166" t="inlineStr">
        <is>
          <t>SM 3111 B</t>
        </is>
      </c>
      <c r="S166" t="inlineStr">
        <is>
          <t>Laboratorio de Ingeniería Ambiental, Facultad de Ingeniería, UNAL Bogotá (LIA) (supuesto)</t>
        </is>
      </c>
      <c r="T166" t="inlineStr">
        <is>
          <t>39741</t>
        </is>
      </c>
      <c r="U166" t="inlineStr">
        <is>
          <t>Fisicoquimicos_resultados.xlsx, Hoja 2 (transcripción del semillero)</t>
        </is>
      </c>
      <c r="V166" t="inlineStr">
        <is>
          <t>fuente_secundaria_sin_pdf;fecha_no_verificada;signo_&lt;_inferido_de_LD/2</t>
        </is>
      </c>
    </row>
    <row r="167">
      <c r="A167" t="inlineStr">
        <is>
          <t>Leticia</t>
        </is>
      </c>
      <c r="B167" t="inlineStr">
        <is>
          <t>SIN-CODIGO (Pozo UN)</t>
        </is>
      </c>
      <c r="C167" t="inlineStr">
        <is>
          <t>Pozo UN</t>
        </is>
      </c>
      <c r="D167" t="inlineStr">
        <is>
          <t>POZO_UN</t>
        </is>
      </c>
      <c r="E167" t="inlineStr">
        <is>
          <t>subterránea (pozo)</t>
        </is>
      </c>
      <c r="F167" t="inlineStr">
        <is>
          <t>2026-01-29</t>
        </is>
      </c>
      <c r="G167" t="inlineStr">
        <is>
          <t>2026-01-29</t>
        </is>
      </c>
      <c r="H167" t="inlineStr">
        <is>
          <t>2026-01</t>
        </is>
      </c>
      <c r="I167" t="inlineStr">
        <is>
          <t>fluoruros</t>
        </is>
      </c>
      <c r="J167" t="inlineStr">
        <is>
          <t>Fluoruros</t>
        </is>
      </c>
      <c r="K167" t="n">
        <v>0.03</v>
      </c>
      <c r="L167" t="inlineStr"/>
      <c r="N167" t="inlineStr">
        <is>
          <t>0,03</t>
        </is>
      </c>
      <c r="O167" t="inlineStr">
        <is>
          <t>mg/L F-</t>
        </is>
      </c>
      <c r="P167" t="inlineStr">
        <is>
          <t>F-</t>
        </is>
      </c>
      <c r="Q167" t="inlineStr">
        <is>
          <t>SM 4110 B</t>
        </is>
      </c>
      <c r="S167" t="inlineStr">
        <is>
          <t>Laboratorio de Ingeniería Ambiental, Facultad de Ingeniería, UNAL Bogotá (LIA) (supuesto)</t>
        </is>
      </c>
      <c r="T167" t="inlineStr">
        <is>
          <t>39741</t>
        </is>
      </c>
      <c r="U167" t="inlineStr">
        <is>
          <t>Fisicoquimicos_resultados.xlsx, Hoja 2 (transcripción del semillero)</t>
        </is>
      </c>
      <c r="V167" t="inlineStr">
        <is>
          <t>fuente_secundaria_sin_pdf;fecha_no_verificada</t>
        </is>
      </c>
    </row>
    <row r="168">
      <c r="A168" t="inlineStr">
        <is>
          <t>Leticia</t>
        </is>
      </c>
      <c r="B168" t="inlineStr">
        <is>
          <t>SIN-CODIGO (Pozo UN)</t>
        </is>
      </c>
      <c r="C168" t="inlineStr">
        <is>
          <t>Pozo UN</t>
        </is>
      </c>
      <c r="D168" t="inlineStr">
        <is>
          <t>POZO_UN</t>
        </is>
      </c>
      <c r="E168" t="inlineStr">
        <is>
          <t>subterránea (pozo)</t>
        </is>
      </c>
      <c r="F168" t="inlineStr">
        <is>
          <t>2026-01-29</t>
        </is>
      </c>
      <c r="G168" t="inlineStr">
        <is>
          <t>2026-01-29</t>
        </is>
      </c>
      <c r="H168" t="inlineStr">
        <is>
          <t>2026-01</t>
        </is>
      </c>
      <c r="I168" t="inlineStr">
        <is>
          <t>nitritos_n</t>
        </is>
      </c>
      <c r="J168" t="inlineStr">
        <is>
          <t>Nitritos</t>
        </is>
      </c>
      <c r="K168" t="n">
        <v>0.1</v>
      </c>
      <c r="L168" t="inlineStr">
        <is>
          <t>&lt;</t>
        </is>
      </c>
      <c r="M168" t="n">
        <v>0.1</v>
      </c>
      <c r="N168" t="inlineStr">
        <is>
          <t>&lt;0,1</t>
        </is>
      </c>
      <c r="O168" t="inlineStr">
        <is>
          <t>mg/L N-NO2-</t>
        </is>
      </c>
      <c r="P168" t="inlineStr">
        <is>
          <t>N (de NO2-)</t>
        </is>
      </c>
      <c r="Q168" t="inlineStr">
        <is>
          <t>SM 4110 B</t>
        </is>
      </c>
      <c r="S168" t="inlineStr">
        <is>
          <t>Laboratorio de Ingeniería Ambiental, Facultad de Ingeniería, UNAL Bogotá (LIA) (supuesto)</t>
        </is>
      </c>
      <c r="T168" t="inlineStr">
        <is>
          <t>39741</t>
        </is>
      </c>
      <c r="U168" t="inlineStr">
        <is>
          <t>Fisicoquimicos_resultados.xlsx, Hoja 2 (transcripción del semillero)</t>
        </is>
      </c>
      <c r="V168" t="inlineStr">
        <is>
          <t>fuente_secundaria_sin_pdf;fecha_no_verificada;signo_&lt;_inferido_de_LD/2</t>
        </is>
      </c>
    </row>
    <row r="169">
      <c r="A169" t="inlineStr">
        <is>
          <t>Leticia</t>
        </is>
      </c>
      <c r="B169" t="inlineStr">
        <is>
          <t>SIN-CODIGO (Pozo UN)</t>
        </is>
      </c>
      <c r="C169" t="inlineStr">
        <is>
          <t>Pozo UN</t>
        </is>
      </c>
      <c r="D169" t="inlineStr">
        <is>
          <t>POZO_UN</t>
        </is>
      </c>
      <c r="E169" t="inlineStr">
        <is>
          <t>subterránea (pozo)</t>
        </is>
      </c>
      <c r="F169" t="inlineStr">
        <is>
          <t>2026-01-29</t>
        </is>
      </c>
      <c r="G169" t="inlineStr">
        <is>
          <t>2026-01-29</t>
        </is>
      </c>
      <c r="H169" t="inlineStr">
        <is>
          <t>2026-01</t>
        </is>
      </c>
      <c r="I169" t="inlineStr">
        <is>
          <t>nitratos_n</t>
        </is>
      </c>
      <c r="J169" t="inlineStr">
        <is>
          <t>Nitratos</t>
        </is>
      </c>
      <c r="K169" t="n">
        <v>0.8</v>
      </c>
      <c r="L169" t="inlineStr"/>
      <c r="N169" t="inlineStr">
        <is>
          <t>0,8</t>
        </is>
      </c>
      <c r="O169" t="inlineStr">
        <is>
          <t>mg/L N-NO3-</t>
        </is>
      </c>
      <c r="P169" t="inlineStr">
        <is>
          <t>N (de NO3-)</t>
        </is>
      </c>
      <c r="Q169" t="inlineStr">
        <is>
          <t>SM 4110 B</t>
        </is>
      </c>
      <c r="S169" t="inlineStr">
        <is>
          <t>Laboratorio de Ingeniería Ambiental, Facultad de Ingeniería, UNAL Bogotá (LIA) (supuesto)</t>
        </is>
      </c>
      <c r="T169" t="inlineStr">
        <is>
          <t>39741</t>
        </is>
      </c>
      <c r="U169" t="inlineStr">
        <is>
          <t>Fisicoquimicos_resultados.xlsx, Hoja 2 (transcripción del semillero)</t>
        </is>
      </c>
      <c r="V169" t="inlineStr">
        <is>
          <t>fuente_secundaria_sin_pdf;fecha_no_verificada</t>
        </is>
      </c>
    </row>
    <row r="170">
      <c r="A170" t="inlineStr">
        <is>
          <t>Leticia</t>
        </is>
      </c>
      <c r="B170" t="inlineStr">
        <is>
          <t>SIN-CODIGO (Pozo UN)</t>
        </is>
      </c>
      <c r="C170" t="inlineStr">
        <is>
          <t>Pozo UN</t>
        </is>
      </c>
      <c r="D170" t="inlineStr">
        <is>
          <t>POZO_UN</t>
        </is>
      </c>
      <c r="E170" t="inlineStr">
        <is>
          <t>subterránea (pozo)</t>
        </is>
      </c>
      <c r="F170" t="inlineStr">
        <is>
          <t>2026-01-29</t>
        </is>
      </c>
      <c r="G170" t="inlineStr">
        <is>
          <t>2026-01-29</t>
        </is>
      </c>
      <c r="H170" t="inlineStr">
        <is>
          <t>2026-01</t>
        </is>
      </c>
      <c r="I170" t="inlineStr">
        <is>
          <t>cloruros</t>
        </is>
      </c>
      <c r="J170" t="inlineStr">
        <is>
          <t>Cloruros</t>
        </is>
      </c>
      <c r="K170" t="n">
        <v>0.2</v>
      </c>
      <c r="L170" t="inlineStr"/>
      <c r="N170" t="inlineStr">
        <is>
          <t>0,2</t>
        </is>
      </c>
      <c r="O170" t="inlineStr">
        <is>
          <t>mg/L Cl-</t>
        </is>
      </c>
      <c r="P170" t="inlineStr">
        <is>
          <t>Cl-</t>
        </is>
      </c>
      <c r="Q170" t="inlineStr">
        <is>
          <t>SM 4110 B</t>
        </is>
      </c>
      <c r="S170" t="inlineStr">
        <is>
          <t>Laboratorio de Ingeniería Ambiental, Facultad de Ingeniería, UNAL Bogotá (LIA) (supuesto)</t>
        </is>
      </c>
      <c r="T170" t="inlineStr">
        <is>
          <t>39741</t>
        </is>
      </c>
      <c r="U170" t="inlineStr">
        <is>
          <t>Fisicoquimicos_resultados.xlsx, Hoja 2 (transcripción del semillero)</t>
        </is>
      </c>
      <c r="V170" t="inlineStr">
        <is>
          <t>fuente_secundaria_sin_pdf;fecha_no_verificada</t>
        </is>
      </c>
    </row>
    <row r="171">
      <c r="A171" t="inlineStr">
        <is>
          <t>Leticia</t>
        </is>
      </c>
      <c r="B171" t="inlineStr">
        <is>
          <t>SIN-CODIGO (Pozo UN)</t>
        </is>
      </c>
      <c r="C171" t="inlineStr">
        <is>
          <t>Pozo UN</t>
        </is>
      </c>
      <c r="D171" t="inlineStr">
        <is>
          <t>POZO_UN</t>
        </is>
      </c>
      <c r="E171" t="inlineStr">
        <is>
          <t>subterránea (pozo)</t>
        </is>
      </c>
      <c r="F171" t="inlineStr">
        <is>
          <t>2026-01-29</t>
        </is>
      </c>
      <c r="G171" t="inlineStr">
        <is>
          <t>2026-01-29</t>
        </is>
      </c>
      <c r="H171" t="inlineStr">
        <is>
          <t>2026-01</t>
        </is>
      </c>
      <c r="I171" t="inlineStr">
        <is>
          <t>sulfatos</t>
        </is>
      </c>
      <c r="J171" t="inlineStr">
        <is>
          <t>Sulfatos</t>
        </is>
      </c>
      <c r="K171" t="n">
        <v>0.2</v>
      </c>
      <c r="L171" t="inlineStr"/>
      <c r="N171" t="inlineStr">
        <is>
          <t>0,2</t>
        </is>
      </c>
      <c r="O171" t="inlineStr">
        <is>
          <t>mg/L SO4=</t>
        </is>
      </c>
      <c r="P171" t="inlineStr">
        <is>
          <t>SO4 2-</t>
        </is>
      </c>
      <c r="Q171" t="inlineStr">
        <is>
          <t>SM 4110 B</t>
        </is>
      </c>
      <c r="S171" t="inlineStr">
        <is>
          <t>Laboratorio de Ingeniería Ambiental, Facultad de Ingeniería, UNAL Bogotá (LIA) (supuesto)</t>
        </is>
      </c>
      <c r="T171" t="inlineStr">
        <is>
          <t>39741</t>
        </is>
      </c>
      <c r="U171" t="inlineStr">
        <is>
          <t>Fisicoquimicos_resultados.xlsx, Hoja 2 (transcripción del semillero)</t>
        </is>
      </c>
      <c r="V171" t="inlineStr">
        <is>
          <t>fuente_secundaria_sin_pdf;fecha_no_verificada</t>
        </is>
      </c>
    </row>
    <row r="172">
      <c r="A172" t="inlineStr">
        <is>
          <t>Leticia</t>
        </is>
      </c>
      <c r="B172" t="inlineStr">
        <is>
          <t>SIN-CODIGO (Pozo UN)</t>
        </is>
      </c>
      <c r="C172" t="inlineStr">
        <is>
          <t>Pozo UN</t>
        </is>
      </c>
      <c r="D172" t="inlineStr">
        <is>
          <t>POZO_UN</t>
        </is>
      </c>
      <c r="E172" t="inlineStr">
        <is>
          <t>subterránea (pozo)</t>
        </is>
      </c>
      <c r="F172" t="inlineStr">
        <is>
          <t>2026-01-29</t>
        </is>
      </c>
      <c r="G172" t="inlineStr">
        <is>
          <t>2026-01-29</t>
        </is>
      </c>
      <c r="H172" t="inlineStr">
        <is>
          <t>2026-01</t>
        </is>
      </c>
      <c r="I172" t="inlineStr">
        <is>
          <t>ortofosfatos</t>
        </is>
      </c>
      <c r="J172" t="inlineStr">
        <is>
          <t>Ortofosfatos</t>
        </is>
      </c>
      <c r="K172" t="n">
        <v>0.3</v>
      </c>
      <c r="L172" t="inlineStr"/>
      <c r="N172" t="inlineStr">
        <is>
          <t>0,3</t>
        </is>
      </c>
      <c r="O172" t="inlineStr">
        <is>
          <t>mg/L PO4-3</t>
        </is>
      </c>
      <c r="P172" t="inlineStr">
        <is>
          <t>PO4 3-</t>
        </is>
      </c>
      <c r="Q172" t="inlineStr">
        <is>
          <t>SM 4110 B</t>
        </is>
      </c>
      <c r="S172" t="inlineStr">
        <is>
          <t>Laboratorio de Ingeniería Ambiental, Facultad de Ingeniería, UNAL Bogotá (LIA) (supuesto)</t>
        </is>
      </c>
      <c r="T172" t="inlineStr">
        <is>
          <t>39741</t>
        </is>
      </c>
      <c r="U172" t="inlineStr">
        <is>
          <t>Fisicoquimicos_resultados.xlsx, Hoja 2 (transcripción del semillero)</t>
        </is>
      </c>
      <c r="V172" t="inlineStr">
        <is>
          <t>fuente_secundaria_sin_pdf;fecha_no_verificada</t>
        </is>
      </c>
    </row>
    <row r="173">
      <c r="A173" t="inlineStr">
        <is>
          <t>Leticia</t>
        </is>
      </c>
      <c r="B173" t="inlineStr">
        <is>
          <t>SIN-CODIGO (Pozo UN)</t>
        </is>
      </c>
      <c r="C173" t="inlineStr">
        <is>
          <t>Pozo UN</t>
        </is>
      </c>
      <c r="D173" t="inlineStr">
        <is>
          <t>POZO_UN</t>
        </is>
      </c>
      <c r="E173" t="inlineStr">
        <is>
          <t>subterránea (pozo)</t>
        </is>
      </c>
      <c r="F173" t="inlineStr">
        <is>
          <t>2026-01-29</t>
        </is>
      </c>
      <c r="G173" t="inlineStr">
        <is>
          <t>2026-01-29</t>
        </is>
      </c>
      <c r="H173" t="inlineStr">
        <is>
          <t>2026-01</t>
        </is>
      </c>
      <c r="I173" t="inlineStr">
        <is>
          <t>solidos_totales</t>
        </is>
      </c>
      <c r="J173" t="inlineStr">
        <is>
          <t>Sólidos Totales</t>
        </is>
      </c>
      <c r="K173" t="n">
        <v>53</v>
      </c>
      <c r="L173" t="inlineStr"/>
      <c r="N173" t="inlineStr">
        <is>
          <t>53,0</t>
        </is>
      </c>
      <c r="O173" t="inlineStr">
        <is>
          <t>mg/L</t>
        </is>
      </c>
      <c r="P173" t="inlineStr">
        <is>
          <t>residuo a 103–105 °C</t>
        </is>
      </c>
      <c r="Q173" t="inlineStr">
        <is>
          <t>SM 2540 B</t>
        </is>
      </c>
      <c r="S173" t="inlineStr">
        <is>
          <t>Laboratorio de Ingeniería Ambiental, Facultad de Ingeniería, UNAL Bogotá (LIA) (supuesto)</t>
        </is>
      </c>
      <c r="T173" t="inlineStr">
        <is>
          <t>39741</t>
        </is>
      </c>
      <c r="U173" t="inlineStr">
        <is>
          <t>Fisicoquimicos_resultados.xlsx, Hoja 2 (transcripción del semillero)</t>
        </is>
      </c>
      <c r="V173" t="inlineStr">
        <is>
          <t>fuente_secundaria_sin_pdf;fecha_no_verificada</t>
        </is>
      </c>
    </row>
    <row r="174">
      <c r="A174" t="inlineStr">
        <is>
          <t>Leticia</t>
        </is>
      </c>
      <c r="B174" t="inlineStr">
        <is>
          <t>SIN-CODIGO (Pozo UN)</t>
        </is>
      </c>
      <c r="C174" t="inlineStr">
        <is>
          <t>Pozo UN</t>
        </is>
      </c>
      <c r="D174" t="inlineStr">
        <is>
          <t>POZO_UN</t>
        </is>
      </c>
      <c r="E174" t="inlineStr">
        <is>
          <t>subterránea (pozo)</t>
        </is>
      </c>
      <c r="F174" t="inlineStr">
        <is>
          <t>2026-01-29</t>
        </is>
      </c>
      <c r="G174" t="inlineStr">
        <is>
          <t>2026-01-29</t>
        </is>
      </c>
      <c r="H174" t="inlineStr">
        <is>
          <t>2026-01</t>
        </is>
      </c>
      <c r="I174" t="inlineStr">
        <is>
          <t>sst</t>
        </is>
      </c>
      <c r="J174" t="inlineStr">
        <is>
          <t>Sólidos Suspendidos Totales</t>
        </is>
      </c>
      <c r="K174" t="n">
        <v>5</v>
      </c>
      <c r="L174" t="inlineStr">
        <is>
          <t>&lt;</t>
        </is>
      </c>
      <c r="M174" t="n">
        <v>5</v>
      </c>
      <c r="N174" t="inlineStr">
        <is>
          <t>&lt;5</t>
        </is>
      </c>
      <c r="O174" t="inlineStr">
        <is>
          <t>mg/L</t>
        </is>
      </c>
      <c r="P174" t="inlineStr">
        <is>
          <t>retenidos en filtro</t>
        </is>
      </c>
      <c r="Q174" t="inlineStr">
        <is>
          <t>SM 2540 D</t>
        </is>
      </c>
      <c r="S174" t="inlineStr">
        <is>
          <t>Laboratorio de Ingeniería Ambiental, Facultad de Ingeniería, UNAL Bogotá (LIA) (supuesto)</t>
        </is>
      </c>
      <c r="T174" t="inlineStr">
        <is>
          <t>39741</t>
        </is>
      </c>
      <c r="U174" t="inlineStr">
        <is>
          <t>Fisicoquimicos_resultados.xlsx, Hoja 2 (transcripción del semillero)</t>
        </is>
      </c>
      <c r="V174" t="inlineStr">
        <is>
          <t>fuente_secundaria_sin_pdf;fecha_no_verificada;signo_&lt;_inferido_de_LD/2</t>
        </is>
      </c>
    </row>
    <row r="175">
      <c r="A175" t="inlineStr">
        <is>
          <t>Leticia</t>
        </is>
      </c>
      <c r="B175" t="inlineStr">
        <is>
          <t>SIN-CODIGO (Río Amazonas)</t>
        </is>
      </c>
      <c r="C175" t="inlineStr">
        <is>
          <t>Río Amazonas</t>
        </is>
      </c>
      <c r="D175" t="inlineStr">
        <is>
          <t>RIO_AMAZONAS</t>
        </is>
      </c>
      <c r="E175" t="inlineStr">
        <is>
          <t>superficial (río)</t>
        </is>
      </c>
      <c r="F175" t="inlineStr">
        <is>
          <t>2026-01-29</t>
        </is>
      </c>
      <c r="G175" t="inlineStr">
        <is>
          <t>2026-01-29</t>
        </is>
      </c>
      <c r="H175" t="inlineStr">
        <is>
          <t>2026-01</t>
        </is>
      </c>
      <c r="I175" t="inlineStr">
        <is>
          <t>turbiedad</t>
        </is>
      </c>
      <c r="J175" t="inlineStr">
        <is>
          <t>Turbiedad</t>
        </is>
      </c>
      <c r="K175" t="n">
        <v>512</v>
      </c>
      <c r="L175" t="inlineStr"/>
      <c r="N175" t="inlineStr">
        <is>
          <t>512,0</t>
        </is>
      </c>
      <c r="O175" t="inlineStr">
        <is>
          <t>UNT</t>
        </is>
      </c>
      <c r="P175" t="inlineStr">
        <is>
          <t>turbiedad nefelométrica</t>
        </is>
      </c>
      <c r="Q175" t="inlineStr">
        <is>
          <t>SM 2130 B</t>
        </is>
      </c>
      <c r="S175" t="inlineStr">
        <is>
          <t>Laboratorio de Ingeniería Ambiental, Facultad de Ingeniería, UNAL Bogotá (LIA) (supuesto)</t>
        </is>
      </c>
      <c r="T175" t="inlineStr">
        <is>
          <t>39742</t>
        </is>
      </c>
      <c r="U175" t="inlineStr">
        <is>
          <t>Fisicoquimicos_resultados.xlsx, Hoja 2 (transcripción del semillero)</t>
        </is>
      </c>
      <c r="V175" t="inlineStr">
        <is>
          <t>fuente_secundaria_sin_pdf;fecha_no_verificada</t>
        </is>
      </c>
    </row>
    <row r="176">
      <c r="A176" t="inlineStr">
        <is>
          <t>Leticia</t>
        </is>
      </c>
      <c r="B176" t="inlineStr">
        <is>
          <t>SIN-CODIGO (Río Amazonas)</t>
        </is>
      </c>
      <c r="C176" t="inlineStr">
        <is>
          <t>Río Amazonas</t>
        </is>
      </c>
      <c r="D176" t="inlineStr">
        <is>
          <t>RIO_AMAZONAS</t>
        </is>
      </c>
      <c r="E176" t="inlineStr">
        <is>
          <t>superficial (río)</t>
        </is>
      </c>
      <c r="F176" t="inlineStr">
        <is>
          <t>2026-01-29</t>
        </is>
      </c>
      <c r="G176" t="inlineStr">
        <is>
          <t>2026-01-29</t>
        </is>
      </c>
      <c r="H176" t="inlineStr">
        <is>
          <t>2026-01</t>
        </is>
      </c>
      <c r="I176" t="inlineStr">
        <is>
          <t>color_aparente</t>
        </is>
      </c>
      <c r="J176" t="inlineStr">
        <is>
          <t>Color Aparente</t>
        </is>
      </c>
      <c r="K176" t="n">
        <v>100</v>
      </c>
      <c r="L176" t="inlineStr"/>
      <c r="N176" t="inlineStr">
        <is>
          <t>100,0</t>
        </is>
      </c>
      <c r="O176" t="inlineStr">
        <is>
          <t>UPC</t>
        </is>
      </c>
      <c r="P176" t="inlineStr">
        <is>
          <t>Pt-Co, sin filtrar</t>
        </is>
      </c>
      <c r="Q176" t="inlineStr">
        <is>
          <t>SM 2120 B</t>
        </is>
      </c>
      <c r="S176" t="inlineStr">
        <is>
          <t>Laboratorio de Ingeniería Ambiental, Facultad de Ingeniería, UNAL Bogotá (LIA) (supuesto)</t>
        </is>
      </c>
      <c r="T176" t="inlineStr">
        <is>
          <t>39742</t>
        </is>
      </c>
      <c r="U176" t="inlineStr">
        <is>
          <t>Fisicoquimicos_resultados.xlsx, Hoja 2 (transcripción del semillero)</t>
        </is>
      </c>
      <c r="V176" t="inlineStr">
        <is>
          <t>fuente_secundaria_sin_pdf;fecha_no_verificada</t>
        </is>
      </c>
    </row>
    <row r="177">
      <c r="A177" t="inlineStr">
        <is>
          <t>Leticia</t>
        </is>
      </c>
      <c r="B177" t="inlineStr">
        <is>
          <t>SIN-CODIGO (Río Amazonas)</t>
        </is>
      </c>
      <c r="C177" t="inlineStr">
        <is>
          <t>Río Amazonas</t>
        </is>
      </c>
      <c r="D177" t="inlineStr">
        <is>
          <t>RIO_AMAZONAS</t>
        </is>
      </c>
      <c r="E177" t="inlineStr">
        <is>
          <t>superficial (río)</t>
        </is>
      </c>
      <c r="F177" t="inlineStr">
        <is>
          <t>2026-01-29</t>
        </is>
      </c>
      <c r="G177" t="inlineStr">
        <is>
          <t>2026-01-29</t>
        </is>
      </c>
      <c r="H177" t="inlineStr">
        <is>
          <t>2026-01</t>
        </is>
      </c>
      <c r="I177" t="inlineStr">
        <is>
          <t>ph</t>
        </is>
      </c>
      <c r="J177" t="inlineStr">
        <is>
          <t>pH</t>
        </is>
      </c>
      <c r="K177" t="n">
        <v>7.84</v>
      </c>
      <c r="L177" t="inlineStr"/>
      <c r="N177" t="inlineStr">
        <is>
          <t>7,84</t>
        </is>
      </c>
      <c r="O177" t="inlineStr">
        <is>
          <t>Unidades</t>
        </is>
      </c>
      <c r="P177" t="inlineStr">
        <is>
          <t>pH</t>
        </is>
      </c>
      <c r="Q177" t="inlineStr">
        <is>
          <t>SM 4500 H+B</t>
        </is>
      </c>
      <c r="S177" t="inlineStr">
        <is>
          <t>Laboratorio de Ingeniería Ambiental, Facultad de Ingeniería, UNAL Bogotá (LIA) (supuesto)</t>
        </is>
      </c>
      <c r="T177" t="inlineStr">
        <is>
          <t>39742</t>
        </is>
      </c>
      <c r="U177" t="inlineStr">
        <is>
          <t>Fisicoquimicos_resultados.xlsx, Hoja 2 (transcripción del semillero)</t>
        </is>
      </c>
      <c r="V177" t="inlineStr">
        <is>
          <t>fuente_secundaria_sin_pdf;fecha_no_verificada</t>
        </is>
      </c>
    </row>
    <row r="178">
      <c r="A178" t="inlineStr">
        <is>
          <t>Leticia</t>
        </is>
      </c>
      <c r="B178" t="inlineStr">
        <is>
          <t>SIN-CODIGO (Río Amazonas)</t>
        </is>
      </c>
      <c r="C178" t="inlineStr">
        <is>
          <t>Río Amazonas</t>
        </is>
      </c>
      <c r="D178" t="inlineStr">
        <is>
          <t>RIO_AMAZONAS</t>
        </is>
      </c>
      <c r="E178" t="inlineStr">
        <is>
          <t>superficial (río)</t>
        </is>
      </c>
      <c r="F178" t="inlineStr">
        <is>
          <t>2026-01-29</t>
        </is>
      </c>
      <c r="G178" t="inlineStr">
        <is>
          <t>2026-01-29</t>
        </is>
      </c>
      <c r="H178" t="inlineStr">
        <is>
          <t>2026-01</t>
        </is>
      </c>
      <c r="I178" t="inlineStr">
        <is>
          <t>conductividad</t>
        </is>
      </c>
      <c r="J178" t="inlineStr">
        <is>
          <t>Conductividad Específica</t>
        </is>
      </c>
      <c r="K178" t="n">
        <v>168.9</v>
      </c>
      <c r="L178" t="inlineStr"/>
      <c r="N178" t="inlineStr">
        <is>
          <t>168,9</t>
        </is>
      </c>
      <c r="O178" t="inlineStr">
        <is>
          <t>µS/cm 25 °C</t>
        </is>
      </c>
      <c r="P178" t="inlineStr">
        <is>
          <t>CE a 25 °C</t>
        </is>
      </c>
      <c r="Q178" t="inlineStr">
        <is>
          <t>SM 2510 B</t>
        </is>
      </c>
      <c r="S178" t="inlineStr">
        <is>
          <t>Laboratorio de Ingeniería Ambiental, Facultad de Ingeniería, UNAL Bogotá (LIA) (supuesto)</t>
        </is>
      </c>
      <c r="T178" t="inlineStr">
        <is>
          <t>39742</t>
        </is>
      </c>
      <c r="U178" t="inlineStr">
        <is>
          <t>Fisicoquimicos_resultados.xlsx, Hoja 2 (transcripción del semillero)</t>
        </is>
      </c>
      <c r="V178" t="inlineStr">
        <is>
          <t>fuente_secundaria_sin_pdf;fecha_no_verificada</t>
        </is>
      </c>
    </row>
    <row r="179">
      <c r="A179" t="inlineStr">
        <is>
          <t>Leticia</t>
        </is>
      </c>
      <c r="B179" t="inlineStr">
        <is>
          <t>SIN-CODIGO (Río Amazonas)</t>
        </is>
      </c>
      <c r="C179" t="inlineStr">
        <is>
          <t>Río Amazonas</t>
        </is>
      </c>
      <c r="D179" t="inlineStr">
        <is>
          <t>RIO_AMAZONAS</t>
        </is>
      </c>
      <c r="E179" t="inlineStr">
        <is>
          <t>superficial (río)</t>
        </is>
      </c>
      <c r="F179" t="inlineStr">
        <is>
          <t>2026-01-29</t>
        </is>
      </c>
      <c r="G179" t="inlineStr">
        <is>
          <t>2026-01-29</t>
        </is>
      </c>
      <c r="H179" t="inlineStr">
        <is>
          <t>2026-01</t>
        </is>
      </c>
      <c r="I179" t="inlineStr">
        <is>
          <t>alcalinidad</t>
        </is>
      </c>
      <c r="J179" t="inlineStr">
        <is>
          <t>Alcalinidad total</t>
        </is>
      </c>
      <c r="K179" t="n">
        <v>73</v>
      </c>
      <c r="L179" t="inlineStr"/>
      <c r="N179" t="inlineStr">
        <is>
          <t>73,0</t>
        </is>
      </c>
      <c r="O179" t="inlineStr">
        <is>
          <t>mg/L CaCO3</t>
        </is>
      </c>
      <c r="P179" t="inlineStr">
        <is>
          <t>CaCO3</t>
        </is>
      </c>
      <c r="Q179" t="inlineStr">
        <is>
          <t>SM 2320 (Indicador)</t>
        </is>
      </c>
      <c r="S179" t="inlineStr">
        <is>
          <t>Laboratorio de Ingeniería Ambiental, Facultad de Ingeniería, UNAL Bogotá (LIA) (supuesto)</t>
        </is>
      </c>
      <c r="T179" t="inlineStr">
        <is>
          <t>39742</t>
        </is>
      </c>
      <c r="U179" t="inlineStr">
        <is>
          <t>Fisicoquimicos_resultados.xlsx, Hoja 2 (transcripción del semillero)</t>
        </is>
      </c>
      <c r="V179" t="inlineStr">
        <is>
          <t>fuente_secundaria_sin_pdf;fecha_no_verificada</t>
        </is>
      </c>
    </row>
    <row r="180">
      <c r="A180" t="inlineStr">
        <is>
          <t>Leticia</t>
        </is>
      </c>
      <c r="B180" t="inlineStr">
        <is>
          <t>SIN-CODIGO (Río Amazonas)</t>
        </is>
      </c>
      <c r="C180" t="inlineStr">
        <is>
          <t>Río Amazonas</t>
        </is>
      </c>
      <c r="D180" t="inlineStr">
        <is>
          <t>RIO_AMAZONAS</t>
        </is>
      </c>
      <c r="E180" t="inlineStr">
        <is>
          <t>superficial (río)</t>
        </is>
      </c>
      <c r="F180" t="inlineStr">
        <is>
          <t>2026-01-29</t>
        </is>
      </c>
      <c r="G180" t="inlineStr">
        <is>
          <t>2026-01-29</t>
        </is>
      </c>
      <c r="H180" t="inlineStr">
        <is>
          <t>2026-01</t>
        </is>
      </c>
      <c r="I180" t="inlineStr">
        <is>
          <t>acidez</t>
        </is>
      </c>
      <c r="J180" t="inlineStr">
        <is>
          <t>Acidez total</t>
        </is>
      </c>
      <c r="K180" t="n">
        <v>5</v>
      </c>
      <c r="L180" t="inlineStr">
        <is>
          <t>&lt;</t>
        </is>
      </c>
      <c r="M180" t="n">
        <v>5</v>
      </c>
      <c r="N180" t="inlineStr">
        <is>
          <t>&lt;5</t>
        </is>
      </c>
      <c r="O180" t="inlineStr">
        <is>
          <t>mg/L CaCO3</t>
        </is>
      </c>
      <c r="P180" t="inlineStr">
        <is>
          <t>CaCO3</t>
        </is>
      </c>
      <c r="Q180" t="inlineStr">
        <is>
          <t>SM 2310 B</t>
        </is>
      </c>
      <c r="S180" t="inlineStr">
        <is>
          <t>Laboratorio de Ingeniería Ambiental, Facultad de Ingeniería, UNAL Bogotá (LIA) (supuesto)</t>
        </is>
      </c>
      <c r="T180" t="inlineStr">
        <is>
          <t>39742</t>
        </is>
      </c>
      <c r="U180" t="inlineStr">
        <is>
          <t>Fisicoquimicos_resultados.xlsx, Hoja 2 (transcripción del semillero)</t>
        </is>
      </c>
      <c r="V180" t="inlineStr">
        <is>
          <t>fuente_secundaria_sin_pdf;fecha_no_verificada;signo_&lt;_inferido_de_LD/2</t>
        </is>
      </c>
    </row>
    <row r="181">
      <c r="A181" t="inlineStr">
        <is>
          <t>Leticia</t>
        </is>
      </c>
      <c r="B181" t="inlineStr">
        <is>
          <t>SIN-CODIGO (Río Amazonas)</t>
        </is>
      </c>
      <c r="C181" t="inlineStr">
        <is>
          <t>Río Amazonas</t>
        </is>
      </c>
      <c r="D181" t="inlineStr">
        <is>
          <t>RIO_AMAZONAS</t>
        </is>
      </c>
      <c r="E181" t="inlineStr">
        <is>
          <t>superficial (río)</t>
        </is>
      </c>
      <c r="F181" t="inlineStr">
        <is>
          <t>2026-01-29</t>
        </is>
      </c>
      <c r="G181" t="inlineStr">
        <is>
          <t>2026-01-29</t>
        </is>
      </c>
      <c r="H181" t="inlineStr">
        <is>
          <t>2026-01</t>
        </is>
      </c>
      <c r="I181" t="inlineStr">
        <is>
          <t>dureza_total</t>
        </is>
      </c>
      <c r="J181" t="inlineStr">
        <is>
          <t>Dureza total</t>
        </is>
      </c>
      <c r="K181" t="n">
        <v>80</v>
      </c>
      <c r="L181" t="inlineStr"/>
      <c r="N181" t="inlineStr">
        <is>
          <t>80,0</t>
        </is>
      </c>
      <c r="O181" t="inlineStr">
        <is>
          <t>mg/L CaCO3</t>
        </is>
      </c>
      <c r="P181" t="inlineStr">
        <is>
          <t>CaCO3</t>
        </is>
      </c>
      <c r="Q181" t="inlineStr">
        <is>
          <t>SM 2340 C</t>
        </is>
      </c>
      <c r="S181" t="inlineStr">
        <is>
          <t>Laboratorio de Ingeniería Ambiental, Facultad de Ingeniería, UNAL Bogotá (LIA) (supuesto)</t>
        </is>
      </c>
      <c r="T181" t="inlineStr">
        <is>
          <t>39742</t>
        </is>
      </c>
      <c r="U181" t="inlineStr">
        <is>
          <t>Fisicoquimicos_resultados.xlsx, Hoja 2 (transcripción del semillero)</t>
        </is>
      </c>
      <c r="V181" t="inlineStr">
        <is>
          <t>fuente_secundaria_sin_pdf;fecha_no_verificada</t>
        </is>
      </c>
    </row>
    <row r="182">
      <c r="A182" t="inlineStr">
        <is>
          <t>Leticia</t>
        </is>
      </c>
      <c r="B182" t="inlineStr">
        <is>
          <t>SIN-CODIGO (Río Amazonas)</t>
        </is>
      </c>
      <c r="C182" t="inlineStr">
        <is>
          <t>Río Amazonas</t>
        </is>
      </c>
      <c r="D182" t="inlineStr">
        <is>
          <t>RIO_AMAZONAS</t>
        </is>
      </c>
      <c r="E182" t="inlineStr">
        <is>
          <t>superficial (río)</t>
        </is>
      </c>
      <c r="F182" t="inlineStr">
        <is>
          <t>2026-01-29</t>
        </is>
      </c>
      <c r="G182" t="inlineStr">
        <is>
          <t>2026-01-29</t>
        </is>
      </c>
      <c r="H182" t="inlineStr">
        <is>
          <t>2026-01</t>
        </is>
      </c>
      <c r="I182" t="inlineStr">
        <is>
          <t>dureza_calcica</t>
        </is>
      </c>
      <c r="J182" t="inlineStr">
        <is>
          <t>Dureza Cálcica</t>
        </is>
      </c>
      <c r="K182" t="n">
        <v>60</v>
      </c>
      <c r="L182" t="inlineStr"/>
      <c r="N182" t="inlineStr">
        <is>
          <t>60,0</t>
        </is>
      </c>
      <c r="O182" t="inlineStr">
        <is>
          <t>mg/L CaCO3</t>
        </is>
      </c>
      <c r="P182" t="inlineStr">
        <is>
          <t>CaCO3</t>
        </is>
      </c>
      <c r="Q182" t="inlineStr">
        <is>
          <t>SM 3500-Ca,B</t>
        </is>
      </c>
      <c r="S182" t="inlineStr">
        <is>
          <t>Laboratorio de Ingeniería Ambiental, Facultad de Ingeniería, UNAL Bogotá (LIA) (supuesto)</t>
        </is>
      </c>
      <c r="T182" t="inlineStr">
        <is>
          <t>39742</t>
        </is>
      </c>
      <c r="U182" t="inlineStr">
        <is>
          <t>Fisicoquimicos_resultados.xlsx, Hoja 2 (transcripción del semillero)</t>
        </is>
      </c>
      <c r="V182" t="inlineStr">
        <is>
          <t>fuente_secundaria_sin_pdf;fecha_no_verificada</t>
        </is>
      </c>
    </row>
    <row r="183">
      <c r="A183" t="inlineStr">
        <is>
          <t>Leticia</t>
        </is>
      </c>
      <c r="B183" t="inlineStr">
        <is>
          <t>SIN-CODIGO (Río Amazonas)</t>
        </is>
      </c>
      <c r="C183" t="inlineStr">
        <is>
          <t>Río Amazonas</t>
        </is>
      </c>
      <c r="D183" t="inlineStr">
        <is>
          <t>RIO_AMAZONAS</t>
        </is>
      </c>
      <c r="E183" t="inlineStr">
        <is>
          <t>superficial (río)</t>
        </is>
      </c>
      <c r="F183" t="inlineStr">
        <is>
          <t>2026-01-29</t>
        </is>
      </c>
      <c r="G183" t="inlineStr">
        <is>
          <t>2026-01-29</t>
        </is>
      </c>
      <c r="H183" t="inlineStr">
        <is>
          <t>2026-01</t>
        </is>
      </c>
      <c r="I183" t="inlineStr">
        <is>
          <t>dureza_magnesica</t>
        </is>
      </c>
      <c r="J183" t="inlineStr">
        <is>
          <t>Dureza Magnésica</t>
        </is>
      </c>
      <c r="K183" t="n">
        <v>20</v>
      </c>
      <c r="L183" t="inlineStr"/>
      <c r="N183" t="inlineStr">
        <is>
          <t>20,0</t>
        </is>
      </c>
      <c r="O183" t="inlineStr">
        <is>
          <t>mg/L CaCO3</t>
        </is>
      </c>
      <c r="P183" t="inlineStr">
        <is>
          <t>CaCO3</t>
        </is>
      </c>
      <c r="Q183" t="inlineStr">
        <is>
          <t>SM 3500-Mg,B</t>
        </is>
      </c>
      <c r="S183" t="inlineStr">
        <is>
          <t>Laboratorio de Ingeniería Ambiental, Facultad de Ingeniería, UNAL Bogotá (LIA) (supuesto)</t>
        </is>
      </c>
      <c r="T183" t="inlineStr">
        <is>
          <t>39742</t>
        </is>
      </c>
      <c r="U183" t="inlineStr">
        <is>
          <t>Fisicoquimicos_resultados.xlsx, Hoja 2 (transcripción del semillero)</t>
        </is>
      </c>
      <c r="V183" t="inlineStr">
        <is>
          <t>fuente_secundaria_sin_pdf;fecha_no_verificada</t>
        </is>
      </c>
    </row>
    <row r="184">
      <c r="A184" t="inlineStr">
        <is>
          <t>Leticia</t>
        </is>
      </c>
      <c r="B184" t="inlineStr">
        <is>
          <t>SIN-CODIGO (Río Amazonas)</t>
        </is>
      </c>
      <c r="C184" t="inlineStr">
        <is>
          <t>Río Amazonas</t>
        </is>
      </c>
      <c r="D184" t="inlineStr">
        <is>
          <t>RIO_AMAZONAS</t>
        </is>
      </c>
      <c r="E184" t="inlineStr">
        <is>
          <t>superficial (río)</t>
        </is>
      </c>
      <c r="F184" t="inlineStr">
        <is>
          <t>2026-01-29</t>
        </is>
      </c>
      <c r="G184" t="inlineStr">
        <is>
          <t>2026-01-29</t>
        </is>
      </c>
      <c r="H184" t="inlineStr">
        <is>
          <t>2026-01</t>
        </is>
      </c>
      <c r="I184" t="inlineStr">
        <is>
          <t>calcio</t>
        </is>
      </c>
      <c r="J184" t="inlineStr">
        <is>
          <t>Calcio por titulación</t>
        </is>
      </c>
      <c r="K184" t="n">
        <v>24</v>
      </c>
      <c r="L184" t="inlineStr"/>
      <c r="N184" t="inlineStr">
        <is>
          <t>24,0</t>
        </is>
      </c>
      <c r="O184" t="inlineStr">
        <is>
          <t>mg/L Ca</t>
        </is>
      </c>
      <c r="P184" t="inlineStr">
        <is>
          <t>Ca</t>
        </is>
      </c>
      <c r="Q184" t="inlineStr">
        <is>
          <t>SM 3500-Ca,B</t>
        </is>
      </c>
      <c r="S184" t="inlineStr">
        <is>
          <t>Laboratorio de Ingeniería Ambiental, Facultad de Ingeniería, UNAL Bogotá (LIA) (supuesto)</t>
        </is>
      </c>
      <c r="T184" t="inlineStr">
        <is>
          <t>39742</t>
        </is>
      </c>
      <c r="U184" t="inlineStr">
        <is>
          <t>Fisicoquimicos_resultados.xlsx, Hoja 2 (transcripción del semillero)</t>
        </is>
      </c>
      <c r="V184" t="inlineStr">
        <is>
          <t>fuente_secundaria_sin_pdf;fecha_no_verificada</t>
        </is>
      </c>
    </row>
    <row r="185">
      <c r="A185" t="inlineStr">
        <is>
          <t>Leticia</t>
        </is>
      </c>
      <c r="B185" t="inlineStr">
        <is>
          <t>SIN-CODIGO (Río Amazonas)</t>
        </is>
      </c>
      <c r="C185" t="inlineStr">
        <is>
          <t>Río Amazonas</t>
        </is>
      </c>
      <c r="D185" t="inlineStr">
        <is>
          <t>RIO_AMAZONAS</t>
        </is>
      </c>
      <c r="E185" t="inlineStr">
        <is>
          <t>superficial (río)</t>
        </is>
      </c>
      <c r="F185" t="inlineStr">
        <is>
          <t>2026-01-29</t>
        </is>
      </c>
      <c r="G185" t="inlineStr">
        <is>
          <t>2026-01-29</t>
        </is>
      </c>
      <c r="H185" t="inlineStr">
        <is>
          <t>2026-01</t>
        </is>
      </c>
      <c r="I185" t="inlineStr">
        <is>
          <t>magnesio</t>
        </is>
      </c>
      <c r="J185" t="inlineStr">
        <is>
          <t>Magnesio</t>
        </is>
      </c>
      <c r="K185" t="n">
        <v>5</v>
      </c>
      <c r="L185" t="inlineStr"/>
      <c r="N185" t="inlineStr">
        <is>
          <t>5,0</t>
        </is>
      </c>
      <c r="O185" t="inlineStr">
        <is>
          <t>mg/L Mg</t>
        </is>
      </c>
      <c r="P185" t="inlineStr">
        <is>
          <t>Mg</t>
        </is>
      </c>
      <c r="Q185" t="inlineStr">
        <is>
          <t>SM 3500-Mg,B</t>
        </is>
      </c>
      <c r="S185" t="inlineStr">
        <is>
          <t>Laboratorio de Ingeniería Ambiental, Facultad de Ingeniería, UNAL Bogotá (LIA) (supuesto)</t>
        </is>
      </c>
      <c r="T185" t="inlineStr">
        <is>
          <t>39742</t>
        </is>
      </c>
      <c r="U185" t="inlineStr">
        <is>
          <t>Fisicoquimicos_resultados.xlsx, Hoja 2 (transcripción del semillero)</t>
        </is>
      </c>
      <c r="V185" t="inlineStr">
        <is>
          <t>fuente_secundaria_sin_pdf;fecha_no_verificada</t>
        </is>
      </c>
    </row>
    <row r="186">
      <c r="A186" t="inlineStr">
        <is>
          <t>Leticia</t>
        </is>
      </c>
      <c r="B186" t="inlineStr">
        <is>
          <t>SIN-CODIGO (Río Amazonas)</t>
        </is>
      </c>
      <c r="C186" t="inlineStr">
        <is>
          <t>Río Amazonas</t>
        </is>
      </c>
      <c r="D186" t="inlineStr">
        <is>
          <t>RIO_AMAZONAS</t>
        </is>
      </c>
      <c r="E186" t="inlineStr">
        <is>
          <t>superficial (río)</t>
        </is>
      </c>
      <c r="F186" t="inlineStr">
        <is>
          <t>2026-01-29</t>
        </is>
      </c>
      <c r="G186" t="inlineStr">
        <is>
          <t>2026-01-29</t>
        </is>
      </c>
      <c r="H186" t="inlineStr">
        <is>
          <t>2026-01</t>
        </is>
      </c>
      <c r="I186" t="inlineStr">
        <is>
          <t>hierro</t>
        </is>
      </c>
      <c r="J186" t="inlineStr">
        <is>
          <t>Hierro</t>
        </is>
      </c>
      <c r="K186" t="n">
        <v>4.6</v>
      </c>
      <c r="L186" t="inlineStr"/>
      <c r="N186" t="inlineStr">
        <is>
          <t>4,6</t>
        </is>
      </c>
      <c r="O186" t="inlineStr">
        <is>
          <t>mg/L Fe +3</t>
        </is>
      </c>
      <c r="P186" t="inlineStr">
        <is>
          <t>Fe total</t>
        </is>
      </c>
      <c r="Q186" t="inlineStr">
        <is>
          <t>SM 3111 B</t>
        </is>
      </c>
      <c r="S186" t="inlineStr">
        <is>
          <t>Laboratorio de Ingeniería Ambiental, Facultad de Ingeniería, UNAL Bogotá (LIA) (supuesto)</t>
        </is>
      </c>
      <c r="T186" t="inlineStr">
        <is>
          <t>39742</t>
        </is>
      </c>
      <c r="U186" t="inlineStr">
        <is>
          <t>Fisicoquimicos_resultados.xlsx, Hoja 2 (transcripción del semillero)</t>
        </is>
      </c>
      <c r="V186" t="inlineStr">
        <is>
          <t>fuente_secundaria_sin_pdf;fecha_no_verificada</t>
        </is>
      </c>
    </row>
    <row r="187">
      <c r="A187" t="inlineStr">
        <is>
          <t>Leticia</t>
        </is>
      </c>
      <c r="B187" t="inlineStr">
        <is>
          <t>SIN-CODIGO (Río Amazonas)</t>
        </is>
      </c>
      <c r="C187" t="inlineStr">
        <is>
          <t>Río Amazonas</t>
        </is>
      </c>
      <c r="D187" t="inlineStr">
        <is>
          <t>RIO_AMAZONAS</t>
        </is>
      </c>
      <c r="E187" t="inlineStr">
        <is>
          <t>superficial (río)</t>
        </is>
      </c>
      <c r="F187" t="inlineStr">
        <is>
          <t>2026-01-29</t>
        </is>
      </c>
      <c r="G187" t="inlineStr">
        <is>
          <t>2026-01-29</t>
        </is>
      </c>
      <c r="H187" t="inlineStr">
        <is>
          <t>2026-01</t>
        </is>
      </c>
      <c r="I187" t="inlineStr">
        <is>
          <t>manganeso</t>
        </is>
      </c>
      <c r="J187" t="inlineStr">
        <is>
          <t>Manganeso</t>
        </is>
      </c>
      <c r="K187" t="n">
        <v>0.35</v>
      </c>
      <c r="L187" t="inlineStr"/>
      <c r="N187" t="inlineStr">
        <is>
          <t>0,35</t>
        </is>
      </c>
      <c r="O187" t="inlineStr">
        <is>
          <t>mg/L Mn +7</t>
        </is>
      </c>
      <c r="P187" t="inlineStr">
        <is>
          <t>Mn total</t>
        </is>
      </c>
      <c r="Q187" t="inlineStr">
        <is>
          <t>SM 3111 B</t>
        </is>
      </c>
      <c r="S187" t="inlineStr">
        <is>
          <t>Laboratorio de Ingeniería Ambiental, Facultad de Ingeniería, UNAL Bogotá (LIA) (supuesto)</t>
        </is>
      </c>
      <c r="T187" t="inlineStr">
        <is>
          <t>39742</t>
        </is>
      </c>
      <c r="U187" t="inlineStr">
        <is>
          <t>Fisicoquimicos_resultados.xlsx, Hoja 2 (transcripción del semillero)</t>
        </is>
      </c>
      <c r="V187" t="inlineStr">
        <is>
          <t>fuente_secundaria_sin_pdf;fecha_no_verificada</t>
        </is>
      </c>
    </row>
    <row r="188">
      <c r="A188" t="inlineStr">
        <is>
          <t>Leticia</t>
        </is>
      </c>
      <c r="B188" t="inlineStr">
        <is>
          <t>SIN-CODIGO (Río Amazonas)</t>
        </is>
      </c>
      <c r="C188" t="inlineStr">
        <is>
          <t>Río Amazonas</t>
        </is>
      </c>
      <c r="D188" t="inlineStr">
        <is>
          <t>RIO_AMAZONAS</t>
        </is>
      </c>
      <c r="E188" t="inlineStr">
        <is>
          <t>superficial (río)</t>
        </is>
      </c>
      <c r="F188" t="inlineStr">
        <is>
          <t>2026-01-29</t>
        </is>
      </c>
      <c r="G188" t="inlineStr">
        <is>
          <t>2026-01-29</t>
        </is>
      </c>
      <c r="H188" t="inlineStr">
        <is>
          <t>2026-01</t>
        </is>
      </c>
      <c r="I188" t="inlineStr">
        <is>
          <t>cot</t>
        </is>
      </c>
      <c r="J188" t="inlineStr">
        <is>
          <t>Carbono Orgánico Total</t>
        </is>
      </c>
      <c r="K188" t="n">
        <v>4.16</v>
      </c>
      <c r="L188" t="inlineStr"/>
      <c r="N188" t="inlineStr">
        <is>
          <t>4,16</t>
        </is>
      </c>
      <c r="O188" t="inlineStr">
        <is>
          <t>mg/L C</t>
        </is>
      </c>
      <c r="P188" t="inlineStr">
        <is>
          <t>C</t>
        </is>
      </c>
      <c r="Q188" t="inlineStr">
        <is>
          <t>SM 5310 B</t>
        </is>
      </c>
      <c r="S188" t="inlineStr">
        <is>
          <t>Laboratorio de Ingeniería Ambiental, Facultad de Ingeniería, UNAL Bogotá (LIA) (supuesto)</t>
        </is>
      </c>
      <c r="T188" t="inlineStr">
        <is>
          <t>39742</t>
        </is>
      </c>
      <c r="U188" t="inlineStr">
        <is>
          <t>Fisicoquimicos_resultados.xlsx, Hoja 2 (transcripción del semillero)</t>
        </is>
      </c>
      <c r="V188" t="inlineStr">
        <is>
          <t>fuente_secundaria_sin_pdf;fecha_no_verificada</t>
        </is>
      </c>
    </row>
    <row r="189">
      <c r="A189" t="inlineStr">
        <is>
          <t>Leticia</t>
        </is>
      </c>
      <c r="B189" t="inlineStr">
        <is>
          <t>SIN-CODIGO (Río Amazonas)</t>
        </is>
      </c>
      <c r="C189" t="inlineStr">
        <is>
          <t>Río Amazonas</t>
        </is>
      </c>
      <c r="D189" t="inlineStr">
        <is>
          <t>RIO_AMAZONAS</t>
        </is>
      </c>
      <c r="E189" t="inlineStr">
        <is>
          <t>superficial (río)</t>
        </is>
      </c>
      <c r="F189" t="inlineStr">
        <is>
          <t>2026-01-29</t>
        </is>
      </c>
      <c r="G189" t="inlineStr">
        <is>
          <t>2026-01-29</t>
        </is>
      </c>
      <c r="H189" t="inlineStr">
        <is>
          <t>2026-01</t>
        </is>
      </c>
      <c r="I189" t="inlineStr">
        <is>
          <t>zinc</t>
        </is>
      </c>
      <c r="J189" t="inlineStr">
        <is>
          <t>Zinc</t>
        </is>
      </c>
      <c r="K189" t="n">
        <v>0.05</v>
      </c>
      <c r="L189" t="inlineStr">
        <is>
          <t>&lt;</t>
        </is>
      </c>
      <c r="M189" t="n">
        <v>0.05</v>
      </c>
      <c r="N189" t="inlineStr">
        <is>
          <t>&lt;0,05</t>
        </is>
      </c>
      <c r="O189" t="inlineStr">
        <is>
          <t>mg/L Zn</t>
        </is>
      </c>
      <c r="P189" t="inlineStr">
        <is>
          <t>Zn</t>
        </is>
      </c>
      <c r="Q189" t="inlineStr">
        <is>
          <t>SM 3111 B</t>
        </is>
      </c>
      <c r="S189" t="inlineStr">
        <is>
          <t>Laboratorio de Ingeniería Ambiental, Facultad de Ingeniería, UNAL Bogotá (LIA) (supuesto)</t>
        </is>
      </c>
      <c r="T189" t="inlineStr">
        <is>
          <t>39742</t>
        </is>
      </c>
      <c r="U189" t="inlineStr">
        <is>
          <t>Fisicoquimicos_resultados.xlsx, Hoja 2 (transcripción del semillero)</t>
        </is>
      </c>
      <c r="V189" t="inlineStr">
        <is>
          <t>fuente_secundaria_sin_pdf;fecha_no_verificada;signo_&lt;_inferido_de_LD/2</t>
        </is>
      </c>
    </row>
    <row r="190">
      <c r="A190" t="inlineStr">
        <is>
          <t>Leticia</t>
        </is>
      </c>
      <c r="B190" t="inlineStr">
        <is>
          <t>SIN-CODIGO (Río Amazonas)</t>
        </is>
      </c>
      <c r="C190" t="inlineStr">
        <is>
          <t>Río Amazonas</t>
        </is>
      </c>
      <c r="D190" t="inlineStr">
        <is>
          <t>RIO_AMAZONAS</t>
        </is>
      </c>
      <c r="E190" t="inlineStr">
        <is>
          <t>superficial (río)</t>
        </is>
      </c>
      <c r="F190" t="inlineStr">
        <is>
          <t>2026-01-29</t>
        </is>
      </c>
      <c r="G190" t="inlineStr">
        <is>
          <t>2026-01-29</t>
        </is>
      </c>
      <c r="H190" t="inlineStr">
        <is>
          <t>2026-01</t>
        </is>
      </c>
      <c r="I190" t="inlineStr">
        <is>
          <t>fluoruros</t>
        </is>
      </c>
      <c r="J190" t="inlineStr">
        <is>
          <t>Fluoruros</t>
        </is>
      </c>
      <c r="K190" t="n">
        <v>0.1</v>
      </c>
      <c r="L190" t="inlineStr"/>
      <c r="N190" t="inlineStr">
        <is>
          <t>0,1</t>
        </is>
      </c>
      <c r="O190" t="inlineStr">
        <is>
          <t>mg/L F-</t>
        </is>
      </c>
      <c r="P190" t="inlineStr">
        <is>
          <t>F-</t>
        </is>
      </c>
      <c r="Q190" t="inlineStr">
        <is>
          <t>SM 4110 B</t>
        </is>
      </c>
      <c r="S190" t="inlineStr">
        <is>
          <t>Laboratorio de Ingeniería Ambiental, Facultad de Ingeniería, UNAL Bogotá (LIA) (supuesto)</t>
        </is>
      </c>
      <c r="T190" t="inlineStr">
        <is>
          <t>39742</t>
        </is>
      </c>
      <c r="U190" t="inlineStr">
        <is>
          <t>Fisicoquimicos_resultados.xlsx, Hoja 2 (transcripción del semillero)</t>
        </is>
      </c>
      <c r="V190" t="inlineStr">
        <is>
          <t>fuente_secundaria_sin_pdf;fecha_no_verificada</t>
        </is>
      </c>
    </row>
    <row r="191">
      <c r="A191" t="inlineStr">
        <is>
          <t>Leticia</t>
        </is>
      </c>
      <c r="B191" t="inlineStr">
        <is>
          <t>SIN-CODIGO (Río Amazonas)</t>
        </is>
      </c>
      <c r="C191" t="inlineStr">
        <is>
          <t>Río Amazonas</t>
        </is>
      </c>
      <c r="D191" t="inlineStr">
        <is>
          <t>RIO_AMAZONAS</t>
        </is>
      </c>
      <c r="E191" t="inlineStr">
        <is>
          <t>superficial (río)</t>
        </is>
      </c>
      <c r="F191" t="inlineStr">
        <is>
          <t>2026-01-29</t>
        </is>
      </c>
      <c r="G191" t="inlineStr">
        <is>
          <t>2026-01-29</t>
        </is>
      </c>
      <c r="H191" t="inlineStr">
        <is>
          <t>2026-01</t>
        </is>
      </c>
      <c r="I191" t="inlineStr">
        <is>
          <t>nitritos_n</t>
        </is>
      </c>
      <c r="J191" t="inlineStr">
        <is>
          <t>Nitritos</t>
        </is>
      </c>
      <c r="K191" t="n">
        <v>0.1</v>
      </c>
      <c r="L191" t="inlineStr">
        <is>
          <t>&lt;</t>
        </is>
      </c>
      <c r="M191" t="n">
        <v>0.1</v>
      </c>
      <c r="N191" t="inlineStr">
        <is>
          <t>&lt;0,1</t>
        </is>
      </c>
      <c r="O191" t="inlineStr">
        <is>
          <t>mg/L N-NO2-</t>
        </is>
      </c>
      <c r="P191" t="inlineStr">
        <is>
          <t>N (de NO2-)</t>
        </is>
      </c>
      <c r="Q191" t="inlineStr">
        <is>
          <t>SM 4110 B</t>
        </is>
      </c>
      <c r="S191" t="inlineStr">
        <is>
          <t>Laboratorio de Ingeniería Ambiental, Facultad de Ingeniería, UNAL Bogotá (LIA) (supuesto)</t>
        </is>
      </c>
      <c r="T191" t="inlineStr">
        <is>
          <t>39742</t>
        </is>
      </c>
      <c r="U191" t="inlineStr">
        <is>
          <t>Fisicoquimicos_resultados.xlsx, Hoja 2 (transcripción del semillero)</t>
        </is>
      </c>
      <c r="V191" t="inlineStr">
        <is>
          <t>fuente_secundaria_sin_pdf;fecha_no_verificada;signo_&lt;_inferido_de_LD/2</t>
        </is>
      </c>
    </row>
    <row r="192">
      <c r="A192" t="inlineStr">
        <is>
          <t>Leticia</t>
        </is>
      </c>
      <c r="B192" t="inlineStr">
        <is>
          <t>SIN-CODIGO (Río Amazonas)</t>
        </is>
      </c>
      <c r="C192" t="inlineStr">
        <is>
          <t>Río Amazonas</t>
        </is>
      </c>
      <c r="D192" t="inlineStr">
        <is>
          <t>RIO_AMAZONAS</t>
        </is>
      </c>
      <c r="E192" t="inlineStr">
        <is>
          <t>superficial (río)</t>
        </is>
      </c>
      <c r="F192" t="inlineStr">
        <is>
          <t>2026-01-29</t>
        </is>
      </c>
      <c r="G192" t="inlineStr">
        <is>
          <t>2026-01-29</t>
        </is>
      </c>
      <c r="H192" t="inlineStr">
        <is>
          <t>2026-01</t>
        </is>
      </c>
      <c r="I192" t="inlineStr">
        <is>
          <t>nitratos_n</t>
        </is>
      </c>
      <c r="J192" t="inlineStr">
        <is>
          <t>Nitratos</t>
        </is>
      </c>
      <c r="K192" t="n">
        <v>1.6</v>
      </c>
      <c r="L192" t="inlineStr"/>
      <c r="N192" t="inlineStr">
        <is>
          <t>1,6</t>
        </is>
      </c>
      <c r="O192" t="inlineStr">
        <is>
          <t>mg/L N-NO3-</t>
        </is>
      </c>
      <c r="P192" t="inlineStr">
        <is>
          <t>N (de NO3-)</t>
        </is>
      </c>
      <c r="Q192" t="inlineStr">
        <is>
          <t>SM 4110 B</t>
        </is>
      </c>
      <c r="S192" t="inlineStr">
        <is>
          <t>Laboratorio de Ingeniería Ambiental, Facultad de Ingeniería, UNAL Bogotá (LIA) (supuesto)</t>
        </is>
      </c>
      <c r="T192" t="inlineStr">
        <is>
          <t>39742</t>
        </is>
      </c>
      <c r="U192" t="inlineStr">
        <is>
          <t>Fisicoquimicos_resultados.xlsx, Hoja 2 (transcripción del semillero)</t>
        </is>
      </c>
      <c r="V192" t="inlineStr">
        <is>
          <t>fuente_secundaria_sin_pdf;fecha_no_verificada</t>
        </is>
      </c>
    </row>
    <row r="193">
      <c r="A193" t="inlineStr">
        <is>
          <t>Leticia</t>
        </is>
      </c>
      <c r="B193" t="inlineStr">
        <is>
          <t>SIN-CODIGO (Río Amazonas)</t>
        </is>
      </c>
      <c r="C193" t="inlineStr">
        <is>
          <t>Río Amazonas</t>
        </is>
      </c>
      <c r="D193" t="inlineStr">
        <is>
          <t>RIO_AMAZONAS</t>
        </is>
      </c>
      <c r="E193" t="inlineStr">
        <is>
          <t>superficial (río)</t>
        </is>
      </c>
      <c r="F193" t="inlineStr">
        <is>
          <t>2026-01-29</t>
        </is>
      </c>
      <c r="G193" t="inlineStr">
        <is>
          <t>2026-01-29</t>
        </is>
      </c>
      <c r="H193" t="inlineStr">
        <is>
          <t>2026-01</t>
        </is>
      </c>
      <c r="I193" t="inlineStr">
        <is>
          <t>cloruros</t>
        </is>
      </c>
      <c r="J193" t="inlineStr">
        <is>
          <t>Cloruros</t>
        </is>
      </c>
      <c r="K193" t="n">
        <v>5.3</v>
      </c>
      <c r="L193" t="inlineStr"/>
      <c r="N193" t="inlineStr">
        <is>
          <t>5,3</t>
        </is>
      </c>
      <c r="O193" t="inlineStr">
        <is>
          <t>mg/L Cl-</t>
        </is>
      </c>
      <c r="P193" t="inlineStr">
        <is>
          <t>Cl-</t>
        </is>
      </c>
      <c r="Q193" t="inlineStr">
        <is>
          <t>SM 4110 B</t>
        </is>
      </c>
      <c r="S193" t="inlineStr">
        <is>
          <t>Laboratorio de Ingeniería Ambiental, Facultad de Ingeniería, UNAL Bogotá (LIA) (supuesto)</t>
        </is>
      </c>
      <c r="T193" t="inlineStr">
        <is>
          <t>39742</t>
        </is>
      </c>
      <c r="U193" t="inlineStr">
        <is>
          <t>Fisicoquimicos_resultados.xlsx, Hoja 2 (transcripción del semillero)</t>
        </is>
      </c>
      <c r="V193" t="inlineStr">
        <is>
          <t>fuente_secundaria_sin_pdf;fecha_no_verificada</t>
        </is>
      </c>
    </row>
    <row r="194">
      <c r="A194" t="inlineStr">
        <is>
          <t>Leticia</t>
        </is>
      </c>
      <c r="B194" t="inlineStr">
        <is>
          <t>SIN-CODIGO (Río Amazonas)</t>
        </is>
      </c>
      <c r="C194" t="inlineStr">
        <is>
          <t>Río Amazonas</t>
        </is>
      </c>
      <c r="D194" t="inlineStr">
        <is>
          <t>RIO_AMAZONAS</t>
        </is>
      </c>
      <c r="E194" t="inlineStr">
        <is>
          <t>superficial (río)</t>
        </is>
      </c>
      <c r="F194" t="inlineStr">
        <is>
          <t>2026-01-29</t>
        </is>
      </c>
      <c r="G194" t="inlineStr">
        <is>
          <t>2026-01-29</t>
        </is>
      </c>
      <c r="H194" t="inlineStr">
        <is>
          <t>2026-01</t>
        </is>
      </c>
      <c r="I194" t="inlineStr">
        <is>
          <t>sulfatos</t>
        </is>
      </c>
      <c r="J194" t="inlineStr">
        <is>
          <t>Sulfatos</t>
        </is>
      </c>
      <c r="K194" t="n">
        <v>13</v>
      </c>
      <c r="L194" t="inlineStr"/>
      <c r="N194" t="inlineStr">
        <is>
          <t>13,0</t>
        </is>
      </c>
      <c r="O194" t="inlineStr">
        <is>
          <t>mg/L SO4=</t>
        </is>
      </c>
      <c r="P194" t="inlineStr">
        <is>
          <t>SO4 2-</t>
        </is>
      </c>
      <c r="Q194" t="inlineStr">
        <is>
          <t>SM 4110 B</t>
        </is>
      </c>
      <c r="S194" t="inlineStr">
        <is>
          <t>Laboratorio de Ingeniería Ambiental, Facultad de Ingeniería, UNAL Bogotá (LIA) (supuesto)</t>
        </is>
      </c>
      <c r="T194" t="inlineStr">
        <is>
          <t>39742</t>
        </is>
      </c>
      <c r="U194" t="inlineStr">
        <is>
          <t>Fisicoquimicos_resultados.xlsx, Hoja 2 (transcripción del semillero)</t>
        </is>
      </c>
      <c r="V194" t="inlineStr">
        <is>
          <t>fuente_secundaria_sin_pdf;fecha_no_verificada</t>
        </is>
      </c>
    </row>
    <row r="195">
      <c r="A195" t="inlineStr">
        <is>
          <t>Leticia</t>
        </is>
      </c>
      <c r="B195" t="inlineStr">
        <is>
          <t>SIN-CODIGO (Río Amazonas)</t>
        </is>
      </c>
      <c r="C195" t="inlineStr">
        <is>
          <t>Río Amazonas</t>
        </is>
      </c>
      <c r="D195" t="inlineStr">
        <is>
          <t>RIO_AMAZONAS</t>
        </is>
      </c>
      <c r="E195" t="inlineStr">
        <is>
          <t>superficial (río)</t>
        </is>
      </c>
      <c r="F195" t="inlineStr">
        <is>
          <t>2026-01-29</t>
        </is>
      </c>
      <c r="G195" t="inlineStr">
        <is>
          <t>2026-01-29</t>
        </is>
      </c>
      <c r="H195" t="inlineStr">
        <is>
          <t>2026-01</t>
        </is>
      </c>
      <c r="I195" t="inlineStr">
        <is>
          <t>ortofosfatos</t>
        </is>
      </c>
      <c r="J195" t="inlineStr">
        <is>
          <t>Ortofosfatos</t>
        </is>
      </c>
      <c r="K195" t="n">
        <v>0.3</v>
      </c>
      <c r="L195" t="inlineStr"/>
      <c r="N195" t="inlineStr">
        <is>
          <t>0,3</t>
        </is>
      </c>
      <c r="O195" t="inlineStr">
        <is>
          <t>mg/L PO4-3</t>
        </is>
      </c>
      <c r="P195" t="inlineStr">
        <is>
          <t>PO4 3-</t>
        </is>
      </c>
      <c r="Q195" t="inlineStr">
        <is>
          <t>SM 4110 B</t>
        </is>
      </c>
      <c r="S195" t="inlineStr">
        <is>
          <t>Laboratorio de Ingeniería Ambiental, Facultad de Ingeniería, UNAL Bogotá (LIA) (supuesto)</t>
        </is>
      </c>
      <c r="T195" t="inlineStr">
        <is>
          <t>39742</t>
        </is>
      </c>
      <c r="U195" t="inlineStr">
        <is>
          <t>Fisicoquimicos_resultados.xlsx, Hoja 2 (transcripción del semillero)</t>
        </is>
      </c>
      <c r="V195" t="inlineStr">
        <is>
          <t>fuente_secundaria_sin_pdf;fecha_no_verificada</t>
        </is>
      </c>
    </row>
    <row r="196">
      <c r="A196" t="inlineStr">
        <is>
          <t>Leticia</t>
        </is>
      </c>
      <c r="B196" t="inlineStr">
        <is>
          <t>SIN-CODIGO (Río Amazonas)</t>
        </is>
      </c>
      <c r="C196" t="inlineStr">
        <is>
          <t>Río Amazonas</t>
        </is>
      </c>
      <c r="D196" t="inlineStr">
        <is>
          <t>RIO_AMAZONAS</t>
        </is>
      </c>
      <c r="E196" t="inlineStr">
        <is>
          <t>superficial (río)</t>
        </is>
      </c>
      <c r="F196" t="inlineStr">
        <is>
          <t>2026-01-29</t>
        </is>
      </c>
      <c r="G196" t="inlineStr">
        <is>
          <t>2026-01-29</t>
        </is>
      </c>
      <c r="H196" t="inlineStr">
        <is>
          <t>2026-01</t>
        </is>
      </c>
      <c r="I196" t="inlineStr">
        <is>
          <t>solidos_totales</t>
        </is>
      </c>
      <c r="J196" t="inlineStr">
        <is>
          <t>Sólidos Totales</t>
        </is>
      </c>
      <c r="K196" t="n">
        <v>754</v>
      </c>
      <c r="L196" t="inlineStr"/>
      <c r="N196" t="inlineStr">
        <is>
          <t>754,0</t>
        </is>
      </c>
      <c r="O196" t="inlineStr">
        <is>
          <t>mg/L</t>
        </is>
      </c>
      <c r="P196" t="inlineStr">
        <is>
          <t>residuo a 103–105 °C</t>
        </is>
      </c>
      <c r="Q196" t="inlineStr">
        <is>
          <t>SM 2540 B</t>
        </is>
      </c>
      <c r="S196" t="inlineStr">
        <is>
          <t>Laboratorio de Ingeniería Ambiental, Facultad de Ingeniería, UNAL Bogotá (LIA) (supuesto)</t>
        </is>
      </c>
      <c r="T196" t="inlineStr">
        <is>
          <t>39742</t>
        </is>
      </c>
      <c r="U196" t="inlineStr">
        <is>
          <t>Fisicoquimicos_resultados.xlsx, Hoja 2 (transcripción del semillero)</t>
        </is>
      </c>
      <c r="V196" t="inlineStr">
        <is>
          <t>fuente_secundaria_sin_pdf;fecha_no_verificada</t>
        </is>
      </c>
    </row>
    <row r="197">
      <c r="A197" t="inlineStr">
        <is>
          <t>Leticia</t>
        </is>
      </c>
      <c r="B197" t="inlineStr">
        <is>
          <t>SIN-CODIGO (Río Amazonas)</t>
        </is>
      </c>
      <c r="C197" t="inlineStr">
        <is>
          <t>Río Amazonas</t>
        </is>
      </c>
      <c r="D197" t="inlineStr">
        <is>
          <t>RIO_AMAZONAS</t>
        </is>
      </c>
      <c r="E197" t="inlineStr">
        <is>
          <t>superficial (río)</t>
        </is>
      </c>
      <c r="F197" t="inlineStr">
        <is>
          <t>2026-01-29</t>
        </is>
      </c>
      <c r="G197" t="inlineStr">
        <is>
          <t>2026-01-29</t>
        </is>
      </c>
      <c r="H197" t="inlineStr">
        <is>
          <t>2026-01</t>
        </is>
      </c>
      <c r="I197" t="inlineStr">
        <is>
          <t>sst</t>
        </is>
      </c>
      <c r="J197" t="inlineStr">
        <is>
          <t>Sólidos Suspendidos Totales</t>
        </is>
      </c>
      <c r="K197" t="n">
        <v>605</v>
      </c>
      <c r="L197" t="inlineStr"/>
      <c r="N197" t="inlineStr">
        <is>
          <t>605,0</t>
        </is>
      </c>
      <c r="O197" t="inlineStr">
        <is>
          <t>mg/L</t>
        </is>
      </c>
      <c r="P197" t="inlineStr">
        <is>
          <t>retenidos en filtro</t>
        </is>
      </c>
      <c r="Q197" t="inlineStr">
        <is>
          <t>SM 2540 D</t>
        </is>
      </c>
      <c r="S197" t="inlineStr">
        <is>
          <t>Laboratorio de Ingeniería Ambiental, Facultad de Ingeniería, UNAL Bogotá (LIA) (supuesto)</t>
        </is>
      </c>
      <c r="T197" t="inlineStr">
        <is>
          <t>39742</t>
        </is>
      </c>
      <c r="U197" t="inlineStr">
        <is>
          <t>Fisicoquimicos_resultados.xlsx, Hoja 2 (transcripción del semillero)</t>
        </is>
      </c>
      <c r="V197" t="inlineStr">
        <is>
          <t>fuente_secundaria_sin_pdf;fecha_no_verificada</t>
        </is>
      </c>
    </row>
    <row r="198">
      <c r="A198" t="inlineStr">
        <is>
          <t>Leticia</t>
        </is>
      </c>
      <c r="B198" t="inlineStr">
        <is>
          <t>SIN-CODIGO (Río Amazonas)</t>
        </is>
      </c>
      <c r="C198" t="inlineStr">
        <is>
          <t>Río Amazonas</t>
        </is>
      </c>
      <c r="D198" t="inlineStr">
        <is>
          <t>RIO_AMAZONAS</t>
        </is>
      </c>
      <c r="E198" t="inlineStr">
        <is>
          <t>superficial (río)</t>
        </is>
      </c>
      <c r="F198" t="inlineStr">
        <is>
          <t>2026-01-29</t>
        </is>
      </c>
      <c r="G198" t="inlineStr">
        <is>
          <t>2026-01-29</t>
        </is>
      </c>
      <c r="H198" t="inlineStr">
        <is>
          <t>2026-01</t>
        </is>
      </c>
      <c r="I198" t="inlineStr">
        <is>
          <t>coliformes_totales</t>
        </is>
      </c>
      <c r="J198" t="inlineStr">
        <is>
          <t>Coliformes totales</t>
        </is>
      </c>
      <c r="K198" t="n">
        <v>1700</v>
      </c>
      <c r="L198" t="inlineStr"/>
      <c r="N198" t="inlineStr">
        <is>
          <t>1700,0</t>
        </is>
      </c>
      <c r="O198" t="inlineStr">
        <is>
          <t>NMP/100 mL</t>
        </is>
      </c>
      <c r="P198" t="inlineStr">
        <is>
          <t>NMP</t>
        </is>
      </c>
      <c r="Q198" t="inlineStr">
        <is>
          <t>SM 9221 C</t>
        </is>
      </c>
      <c r="S198" t="inlineStr">
        <is>
          <t>Laboratorio de Ingeniería Ambiental, Facultad de Ingeniería, UNAL Bogotá (LIA) (supuesto)</t>
        </is>
      </c>
      <c r="T198" t="inlineStr">
        <is>
          <t>39742</t>
        </is>
      </c>
      <c r="U198" t="inlineStr">
        <is>
          <t>Fisicoquimicos_resultados.xlsx, Hoja 2 (transcripción del semillero)</t>
        </is>
      </c>
      <c r="V198" t="inlineStr">
        <is>
          <t>fuente_secundaria_sin_pdf;fecha_no_verificada</t>
        </is>
      </c>
    </row>
    <row r="199">
      <c r="A199" t="inlineStr">
        <is>
          <t>Leticia</t>
        </is>
      </c>
      <c r="B199" t="inlineStr">
        <is>
          <t>SIN-CODIGO (Río Amazonas)</t>
        </is>
      </c>
      <c r="C199" t="inlineStr">
        <is>
          <t>Río Amazonas</t>
        </is>
      </c>
      <c r="D199" t="inlineStr">
        <is>
          <t>RIO_AMAZONAS</t>
        </is>
      </c>
      <c r="E199" t="inlineStr">
        <is>
          <t>superficial (río)</t>
        </is>
      </c>
      <c r="F199" t="inlineStr">
        <is>
          <t>2026-01-29</t>
        </is>
      </c>
      <c r="G199" t="inlineStr">
        <is>
          <t>2026-01-29</t>
        </is>
      </c>
      <c r="H199" t="inlineStr">
        <is>
          <t>2026-01</t>
        </is>
      </c>
      <c r="I199" t="inlineStr">
        <is>
          <t>e_coli</t>
        </is>
      </c>
      <c r="J199" t="inlineStr">
        <is>
          <t>E. coli</t>
        </is>
      </c>
      <c r="K199" t="n">
        <v>1100</v>
      </c>
      <c r="L199" t="inlineStr"/>
      <c r="N199" t="inlineStr">
        <is>
          <t>1100,0</t>
        </is>
      </c>
      <c r="O199" t="inlineStr">
        <is>
          <t>NMP/100 mL</t>
        </is>
      </c>
      <c r="P199" t="inlineStr">
        <is>
          <t>NMP</t>
        </is>
      </c>
      <c r="Q199" t="inlineStr">
        <is>
          <t>SM 9221 C</t>
        </is>
      </c>
      <c r="S199" t="inlineStr">
        <is>
          <t>Laboratorio de Ingeniería Ambiental, Facultad de Ingeniería, UNAL Bogotá (LIA) (supuesto)</t>
        </is>
      </c>
      <c r="T199" t="inlineStr">
        <is>
          <t>39742</t>
        </is>
      </c>
      <c r="U199" t="inlineStr">
        <is>
          <t>Fisicoquimicos_resultados.xlsx, Hoja 2 (transcripción del semillero)</t>
        </is>
      </c>
      <c r="V199" t="inlineStr">
        <is>
          <t>fuente_secundaria_sin_pdf;fecha_no_verificada</t>
        </is>
      </c>
    </row>
    <row r="200">
      <c r="A200" t="inlineStr">
        <is>
          <t>Leticia</t>
        </is>
      </c>
      <c r="B200" t="inlineStr">
        <is>
          <t>SIN-CODIGO (NUMAE)</t>
        </is>
      </c>
      <c r="C200" t="inlineStr">
        <is>
          <t>NUMAE</t>
        </is>
      </c>
      <c r="D200" t="inlineStr">
        <is>
          <t>POZO_NUMAE</t>
        </is>
      </c>
      <c r="E200" t="inlineStr">
        <is>
          <t>subterránea (pozo)</t>
        </is>
      </c>
      <c r="F200" t="inlineStr">
        <is>
          <t>2026-01-29</t>
        </is>
      </c>
      <c r="G200" t="inlineStr">
        <is>
          <t>2026-01-29</t>
        </is>
      </c>
      <c r="H200" t="inlineStr">
        <is>
          <t>2026-01</t>
        </is>
      </c>
      <c r="I200" t="inlineStr">
        <is>
          <t>turbiedad</t>
        </is>
      </c>
      <c r="J200" t="inlineStr">
        <is>
          <t>Turbiedad</t>
        </is>
      </c>
      <c r="K200" t="n">
        <v>0.96</v>
      </c>
      <c r="L200" t="inlineStr"/>
      <c r="N200" t="inlineStr">
        <is>
          <t>0,96</t>
        </is>
      </c>
      <c r="O200" t="inlineStr">
        <is>
          <t>UNT</t>
        </is>
      </c>
      <c r="P200" t="inlineStr">
        <is>
          <t>turbiedad nefelométrica</t>
        </is>
      </c>
      <c r="Q200" t="inlineStr">
        <is>
          <t>SM 2130 B</t>
        </is>
      </c>
      <c r="S200" t="inlineStr">
        <is>
          <t>Laboratorio de Ingeniería Ambiental, Facultad de Ingeniería, UNAL Bogotá (LIA) (supuesto)</t>
        </is>
      </c>
      <c r="T200" t="inlineStr">
        <is>
          <t>39743</t>
        </is>
      </c>
      <c r="U200" t="inlineStr">
        <is>
          <t>Fisicoquimicos_resultados.xlsx, Hoja 2 (transcripción del semillero)</t>
        </is>
      </c>
      <c r="V200" t="inlineStr">
        <is>
          <t>fuente_secundaria_sin_pdf;fecha_no_verificada</t>
        </is>
      </c>
    </row>
    <row r="201">
      <c r="A201" t="inlineStr">
        <is>
          <t>Leticia</t>
        </is>
      </c>
      <c r="B201" t="inlineStr">
        <is>
          <t>SIN-CODIGO (NUMAE)</t>
        </is>
      </c>
      <c r="C201" t="inlineStr">
        <is>
          <t>NUMAE</t>
        </is>
      </c>
      <c r="D201" t="inlineStr">
        <is>
          <t>POZO_NUMAE</t>
        </is>
      </c>
      <c r="E201" t="inlineStr">
        <is>
          <t>subterránea (pozo)</t>
        </is>
      </c>
      <c r="F201" t="inlineStr">
        <is>
          <t>2026-01-29</t>
        </is>
      </c>
      <c r="G201" t="inlineStr">
        <is>
          <t>2026-01-29</t>
        </is>
      </c>
      <c r="H201" t="inlineStr">
        <is>
          <t>2026-01</t>
        </is>
      </c>
      <c r="I201" t="inlineStr">
        <is>
          <t>color_aparente</t>
        </is>
      </c>
      <c r="J201" t="inlineStr">
        <is>
          <t>Color Aparente</t>
        </is>
      </c>
      <c r="K201" t="n">
        <v>9</v>
      </c>
      <c r="L201" t="inlineStr"/>
      <c r="N201" t="inlineStr">
        <is>
          <t>9,0</t>
        </is>
      </c>
      <c r="O201" t="inlineStr">
        <is>
          <t>UPC</t>
        </is>
      </c>
      <c r="P201" t="inlineStr">
        <is>
          <t>Pt-Co, sin filtrar</t>
        </is>
      </c>
      <c r="Q201" t="inlineStr">
        <is>
          <t>SM 2120 B</t>
        </is>
      </c>
      <c r="S201" t="inlineStr">
        <is>
          <t>Laboratorio de Ingeniería Ambiental, Facultad de Ingeniería, UNAL Bogotá (LIA) (supuesto)</t>
        </is>
      </c>
      <c r="T201" t="inlineStr">
        <is>
          <t>39743</t>
        </is>
      </c>
      <c r="U201" t="inlineStr">
        <is>
          <t>Fisicoquimicos_resultados.xlsx, Hoja 2 (transcripción del semillero)</t>
        </is>
      </c>
      <c r="V201" t="inlineStr">
        <is>
          <t>fuente_secundaria_sin_pdf;fecha_no_verificada</t>
        </is>
      </c>
    </row>
    <row r="202">
      <c r="A202" t="inlineStr">
        <is>
          <t>Leticia</t>
        </is>
      </c>
      <c r="B202" t="inlineStr">
        <is>
          <t>SIN-CODIGO (NUMAE)</t>
        </is>
      </c>
      <c r="C202" t="inlineStr">
        <is>
          <t>NUMAE</t>
        </is>
      </c>
      <c r="D202" t="inlineStr">
        <is>
          <t>POZO_NUMAE</t>
        </is>
      </c>
      <c r="E202" t="inlineStr">
        <is>
          <t>subterránea (pozo)</t>
        </is>
      </c>
      <c r="F202" t="inlineStr">
        <is>
          <t>2026-01-29</t>
        </is>
      </c>
      <c r="G202" t="inlineStr">
        <is>
          <t>2026-01-29</t>
        </is>
      </c>
      <c r="H202" t="inlineStr">
        <is>
          <t>2026-01</t>
        </is>
      </c>
      <c r="I202" t="inlineStr">
        <is>
          <t>ph</t>
        </is>
      </c>
      <c r="J202" t="inlineStr">
        <is>
          <t>pH</t>
        </is>
      </c>
      <c r="K202" t="n">
        <v>5.35</v>
      </c>
      <c r="L202" t="inlineStr"/>
      <c r="N202" t="inlineStr">
        <is>
          <t>5,35</t>
        </is>
      </c>
      <c r="O202" t="inlineStr">
        <is>
          <t>Unidades</t>
        </is>
      </c>
      <c r="P202" t="inlineStr">
        <is>
          <t>pH</t>
        </is>
      </c>
      <c r="Q202" t="inlineStr">
        <is>
          <t>SM 4500 H+B</t>
        </is>
      </c>
      <c r="S202" t="inlineStr">
        <is>
          <t>Laboratorio de Ingeniería Ambiental, Facultad de Ingeniería, UNAL Bogotá (LIA) (supuesto)</t>
        </is>
      </c>
      <c r="T202" t="inlineStr">
        <is>
          <t>39743</t>
        </is>
      </c>
      <c r="U202" t="inlineStr">
        <is>
          <t>Fisicoquimicos_resultados.xlsx, Hoja 2 (transcripción del semillero)</t>
        </is>
      </c>
      <c r="V202" t="inlineStr">
        <is>
          <t>fuente_secundaria_sin_pdf;fecha_no_verificada</t>
        </is>
      </c>
    </row>
    <row r="203">
      <c r="A203" t="inlineStr">
        <is>
          <t>Leticia</t>
        </is>
      </c>
      <c r="B203" t="inlineStr">
        <is>
          <t>SIN-CODIGO (NUMAE)</t>
        </is>
      </c>
      <c r="C203" t="inlineStr">
        <is>
          <t>NUMAE</t>
        </is>
      </c>
      <c r="D203" t="inlineStr">
        <is>
          <t>POZO_NUMAE</t>
        </is>
      </c>
      <c r="E203" t="inlineStr">
        <is>
          <t>subterránea (pozo)</t>
        </is>
      </c>
      <c r="F203" t="inlineStr">
        <is>
          <t>2026-01-29</t>
        </is>
      </c>
      <c r="G203" t="inlineStr">
        <is>
          <t>2026-01-29</t>
        </is>
      </c>
      <c r="H203" t="inlineStr">
        <is>
          <t>2026-01</t>
        </is>
      </c>
      <c r="I203" t="inlineStr">
        <is>
          <t>conductividad</t>
        </is>
      </c>
      <c r="J203" t="inlineStr">
        <is>
          <t>Conductividad Específica</t>
        </is>
      </c>
      <c r="K203" t="n">
        <v>69</v>
      </c>
      <c r="L203" t="inlineStr"/>
      <c r="N203" t="inlineStr">
        <is>
          <t>69,0</t>
        </is>
      </c>
      <c r="O203" t="inlineStr">
        <is>
          <t>µS/cm 25 °C</t>
        </is>
      </c>
      <c r="P203" t="inlineStr">
        <is>
          <t>CE a 25 °C</t>
        </is>
      </c>
      <c r="Q203" t="inlineStr">
        <is>
          <t>SM 2510 B</t>
        </is>
      </c>
      <c r="S203" t="inlineStr">
        <is>
          <t>Laboratorio de Ingeniería Ambiental, Facultad de Ingeniería, UNAL Bogotá (LIA) (supuesto)</t>
        </is>
      </c>
      <c r="T203" t="inlineStr">
        <is>
          <t>39743</t>
        </is>
      </c>
      <c r="U203" t="inlineStr">
        <is>
          <t>Fisicoquimicos_resultados.xlsx, Hoja 2 (transcripción del semillero)</t>
        </is>
      </c>
      <c r="V203" t="inlineStr">
        <is>
          <t>fuente_secundaria_sin_pdf;fecha_no_verificada</t>
        </is>
      </c>
    </row>
    <row r="204">
      <c r="A204" t="inlineStr">
        <is>
          <t>Leticia</t>
        </is>
      </c>
      <c r="B204" t="inlineStr">
        <is>
          <t>SIN-CODIGO (NUMAE)</t>
        </is>
      </c>
      <c r="C204" t="inlineStr">
        <is>
          <t>NUMAE</t>
        </is>
      </c>
      <c r="D204" t="inlineStr">
        <is>
          <t>POZO_NUMAE</t>
        </is>
      </c>
      <c r="E204" t="inlineStr">
        <is>
          <t>subterránea (pozo)</t>
        </is>
      </c>
      <c r="F204" t="inlineStr">
        <is>
          <t>2026-01-29</t>
        </is>
      </c>
      <c r="G204" t="inlineStr">
        <is>
          <t>2026-01-29</t>
        </is>
      </c>
      <c r="H204" t="inlineStr">
        <is>
          <t>2026-01</t>
        </is>
      </c>
      <c r="I204" t="inlineStr">
        <is>
          <t>alcalinidad</t>
        </is>
      </c>
      <c r="J204" t="inlineStr">
        <is>
          <t>Alcalinidad total</t>
        </is>
      </c>
      <c r="K204" t="n">
        <v>6</v>
      </c>
      <c r="L204" t="inlineStr"/>
      <c r="N204" t="inlineStr">
        <is>
          <t>6,0</t>
        </is>
      </c>
      <c r="O204" t="inlineStr">
        <is>
          <t>mg/L CaCO3</t>
        </is>
      </c>
      <c r="P204" t="inlineStr">
        <is>
          <t>CaCO3</t>
        </is>
      </c>
      <c r="Q204" t="inlineStr">
        <is>
          <t>SM 2320 (Indicador)</t>
        </is>
      </c>
      <c r="S204" t="inlineStr">
        <is>
          <t>Laboratorio de Ingeniería Ambiental, Facultad de Ingeniería, UNAL Bogotá (LIA) (supuesto)</t>
        </is>
      </c>
      <c r="T204" t="inlineStr">
        <is>
          <t>39743</t>
        </is>
      </c>
      <c r="U204" t="inlineStr">
        <is>
          <t>Fisicoquimicos_resultados.xlsx, Hoja 2 (transcripción del semillero)</t>
        </is>
      </c>
      <c r="V204" t="inlineStr">
        <is>
          <t>fuente_secundaria_sin_pdf;fecha_no_verificada</t>
        </is>
      </c>
    </row>
    <row r="205">
      <c r="A205" t="inlineStr">
        <is>
          <t>Leticia</t>
        </is>
      </c>
      <c r="B205" t="inlineStr">
        <is>
          <t>SIN-CODIGO (NUMAE)</t>
        </is>
      </c>
      <c r="C205" t="inlineStr">
        <is>
          <t>NUMAE</t>
        </is>
      </c>
      <c r="D205" t="inlineStr">
        <is>
          <t>POZO_NUMAE</t>
        </is>
      </c>
      <c r="E205" t="inlineStr">
        <is>
          <t>subterránea (pozo)</t>
        </is>
      </c>
      <c r="F205" t="inlineStr">
        <is>
          <t>2026-01-29</t>
        </is>
      </c>
      <c r="G205" t="inlineStr">
        <is>
          <t>2026-01-29</t>
        </is>
      </c>
      <c r="H205" t="inlineStr">
        <is>
          <t>2026-01</t>
        </is>
      </c>
      <c r="I205" t="inlineStr">
        <is>
          <t>acidez</t>
        </is>
      </c>
      <c r="J205" t="inlineStr">
        <is>
          <t>Acidez total</t>
        </is>
      </c>
      <c r="K205" t="n">
        <v>16</v>
      </c>
      <c r="L205" t="inlineStr"/>
      <c r="N205" t="inlineStr">
        <is>
          <t>16,0</t>
        </is>
      </c>
      <c r="O205" t="inlineStr">
        <is>
          <t>mg/L CaCO3</t>
        </is>
      </c>
      <c r="P205" t="inlineStr">
        <is>
          <t>CaCO3</t>
        </is>
      </c>
      <c r="Q205" t="inlineStr">
        <is>
          <t>SM 2310 B</t>
        </is>
      </c>
      <c r="S205" t="inlineStr">
        <is>
          <t>Laboratorio de Ingeniería Ambiental, Facultad de Ingeniería, UNAL Bogotá (LIA) (supuesto)</t>
        </is>
      </c>
      <c r="T205" t="inlineStr">
        <is>
          <t>39743</t>
        </is>
      </c>
      <c r="U205" t="inlineStr">
        <is>
          <t>Fisicoquimicos_resultados.xlsx, Hoja 2 (transcripción del semillero)</t>
        </is>
      </c>
      <c r="V205" t="inlineStr">
        <is>
          <t>fuente_secundaria_sin_pdf;fecha_no_verificada</t>
        </is>
      </c>
    </row>
    <row r="206">
      <c r="A206" t="inlineStr">
        <is>
          <t>Leticia</t>
        </is>
      </c>
      <c r="B206" t="inlineStr">
        <is>
          <t>SIN-CODIGO (NUMAE)</t>
        </is>
      </c>
      <c r="C206" t="inlineStr">
        <is>
          <t>NUMAE</t>
        </is>
      </c>
      <c r="D206" t="inlineStr">
        <is>
          <t>POZO_NUMAE</t>
        </is>
      </c>
      <c r="E206" t="inlineStr">
        <is>
          <t>subterránea (pozo)</t>
        </is>
      </c>
      <c r="F206" t="inlineStr">
        <is>
          <t>2026-01-29</t>
        </is>
      </c>
      <c r="G206" t="inlineStr">
        <is>
          <t>2026-01-29</t>
        </is>
      </c>
      <c r="H206" t="inlineStr">
        <is>
          <t>2026-01</t>
        </is>
      </c>
      <c r="I206" t="inlineStr">
        <is>
          <t>dureza_total</t>
        </is>
      </c>
      <c r="J206" t="inlineStr">
        <is>
          <t>Dureza total</t>
        </is>
      </c>
      <c r="K206" t="n">
        <v>7</v>
      </c>
      <c r="L206" t="inlineStr"/>
      <c r="N206" t="inlineStr">
        <is>
          <t>7,0</t>
        </is>
      </c>
      <c r="O206" t="inlineStr">
        <is>
          <t>mg/L CaCO3</t>
        </is>
      </c>
      <c r="P206" t="inlineStr">
        <is>
          <t>CaCO3</t>
        </is>
      </c>
      <c r="Q206" t="inlineStr">
        <is>
          <t>SM 2340 C</t>
        </is>
      </c>
      <c r="S206" t="inlineStr">
        <is>
          <t>Laboratorio de Ingeniería Ambiental, Facultad de Ingeniería, UNAL Bogotá (LIA) (supuesto)</t>
        </is>
      </c>
      <c r="T206" t="inlineStr">
        <is>
          <t>39743</t>
        </is>
      </c>
      <c r="U206" t="inlineStr">
        <is>
          <t>Fisicoquimicos_resultados.xlsx, Hoja 2 (transcripción del semillero)</t>
        </is>
      </c>
      <c r="V206" t="inlineStr">
        <is>
          <t>fuente_secundaria_sin_pdf;fecha_no_verificada</t>
        </is>
      </c>
    </row>
    <row r="207">
      <c r="A207" t="inlineStr">
        <is>
          <t>Leticia</t>
        </is>
      </c>
      <c r="B207" t="inlineStr">
        <is>
          <t>SIN-CODIGO (NUMAE)</t>
        </is>
      </c>
      <c r="C207" t="inlineStr">
        <is>
          <t>NUMAE</t>
        </is>
      </c>
      <c r="D207" t="inlineStr">
        <is>
          <t>POZO_NUMAE</t>
        </is>
      </c>
      <c r="E207" t="inlineStr">
        <is>
          <t>subterránea (pozo)</t>
        </is>
      </c>
      <c r="F207" t="inlineStr">
        <is>
          <t>2026-01-29</t>
        </is>
      </c>
      <c r="G207" t="inlineStr">
        <is>
          <t>2026-01-29</t>
        </is>
      </c>
      <c r="H207" t="inlineStr">
        <is>
          <t>2026-01</t>
        </is>
      </c>
      <c r="I207" t="inlineStr">
        <is>
          <t>dureza_calcica</t>
        </is>
      </c>
      <c r="J207" t="inlineStr">
        <is>
          <t>Dureza Cálcica</t>
        </is>
      </c>
      <c r="K207" t="n">
        <v>5</v>
      </c>
      <c r="L207" t="inlineStr">
        <is>
          <t>&lt;</t>
        </is>
      </c>
      <c r="M207" t="n">
        <v>5</v>
      </c>
      <c r="N207" t="inlineStr">
        <is>
          <t>&lt;5</t>
        </is>
      </c>
      <c r="O207" t="inlineStr">
        <is>
          <t>mg/L CaCO3</t>
        </is>
      </c>
      <c r="P207" t="inlineStr">
        <is>
          <t>CaCO3</t>
        </is>
      </c>
      <c r="Q207" t="inlineStr">
        <is>
          <t>SM 3500-Ca,B</t>
        </is>
      </c>
      <c r="S207" t="inlineStr">
        <is>
          <t>Laboratorio de Ingeniería Ambiental, Facultad de Ingeniería, UNAL Bogotá (LIA) (supuesto)</t>
        </is>
      </c>
      <c r="T207" t="inlineStr">
        <is>
          <t>39743</t>
        </is>
      </c>
      <c r="U207" t="inlineStr">
        <is>
          <t>Fisicoquimicos_resultados.xlsx, Hoja 2 (transcripción del semillero)</t>
        </is>
      </c>
      <c r="V207" t="inlineStr">
        <is>
          <t>fuente_secundaria_sin_pdf;fecha_no_verificada;signo_&lt;_inferido_de_LD/2</t>
        </is>
      </c>
    </row>
    <row r="208">
      <c r="A208" t="inlineStr">
        <is>
          <t>Leticia</t>
        </is>
      </c>
      <c r="B208" t="inlineStr">
        <is>
          <t>SIN-CODIGO (NUMAE)</t>
        </is>
      </c>
      <c r="C208" t="inlineStr">
        <is>
          <t>NUMAE</t>
        </is>
      </c>
      <c r="D208" t="inlineStr">
        <is>
          <t>POZO_NUMAE</t>
        </is>
      </c>
      <c r="E208" t="inlineStr">
        <is>
          <t>subterránea (pozo)</t>
        </is>
      </c>
      <c r="F208" t="inlineStr">
        <is>
          <t>2026-01-29</t>
        </is>
      </c>
      <c r="G208" t="inlineStr">
        <is>
          <t>2026-01-29</t>
        </is>
      </c>
      <c r="H208" t="inlineStr">
        <is>
          <t>2026-01</t>
        </is>
      </c>
      <c r="I208" t="inlineStr">
        <is>
          <t>dureza_magnesica</t>
        </is>
      </c>
      <c r="J208" t="inlineStr">
        <is>
          <t>Dureza Magnésica</t>
        </is>
      </c>
      <c r="K208" t="n">
        <v>7</v>
      </c>
      <c r="L208" t="inlineStr"/>
      <c r="N208" t="inlineStr">
        <is>
          <t>7,0</t>
        </is>
      </c>
      <c r="O208" t="inlineStr">
        <is>
          <t>mg/L CaCO3</t>
        </is>
      </c>
      <c r="P208" t="inlineStr">
        <is>
          <t>CaCO3</t>
        </is>
      </c>
      <c r="Q208" t="inlineStr">
        <is>
          <t>SM 3500-Mg,B</t>
        </is>
      </c>
      <c r="S208" t="inlineStr">
        <is>
          <t>Laboratorio de Ingeniería Ambiental, Facultad de Ingeniería, UNAL Bogotá (LIA) (supuesto)</t>
        </is>
      </c>
      <c r="T208" t="inlineStr">
        <is>
          <t>39743</t>
        </is>
      </c>
      <c r="U208" t="inlineStr">
        <is>
          <t>Fisicoquimicos_resultados.xlsx, Hoja 2 (transcripción del semillero)</t>
        </is>
      </c>
      <c r="V208" t="inlineStr">
        <is>
          <t>fuente_secundaria_sin_pdf;fecha_no_verificada</t>
        </is>
      </c>
    </row>
    <row r="209">
      <c r="A209" t="inlineStr">
        <is>
          <t>Leticia</t>
        </is>
      </c>
      <c r="B209" t="inlineStr">
        <is>
          <t>SIN-CODIGO (NUMAE)</t>
        </is>
      </c>
      <c r="C209" t="inlineStr">
        <is>
          <t>NUMAE</t>
        </is>
      </c>
      <c r="D209" t="inlineStr">
        <is>
          <t>POZO_NUMAE</t>
        </is>
      </c>
      <c r="E209" t="inlineStr">
        <is>
          <t>subterránea (pozo)</t>
        </is>
      </c>
      <c r="F209" t="inlineStr">
        <is>
          <t>2026-01-29</t>
        </is>
      </c>
      <c r="G209" t="inlineStr">
        <is>
          <t>2026-01-29</t>
        </is>
      </c>
      <c r="H209" t="inlineStr">
        <is>
          <t>2026-01</t>
        </is>
      </c>
      <c r="I209" t="inlineStr">
        <is>
          <t>calcio</t>
        </is>
      </c>
      <c r="J209" t="inlineStr">
        <is>
          <t>Calcio por titulación</t>
        </is>
      </c>
      <c r="K209" t="n">
        <v>0</v>
      </c>
      <c r="L209" t="inlineStr"/>
      <c r="N209" t="inlineStr">
        <is>
          <t>0,0</t>
        </is>
      </c>
      <c r="O209" t="inlineStr">
        <is>
          <t>mg/L Ca</t>
        </is>
      </c>
      <c r="P209" t="inlineStr">
        <is>
          <t>Ca</t>
        </is>
      </c>
      <c r="Q209" t="inlineStr">
        <is>
          <t>SM 3500-Ca,B</t>
        </is>
      </c>
      <c r="S209" t="inlineStr">
        <is>
          <t>Laboratorio de Ingeniería Ambiental, Facultad de Ingeniería, UNAL Bogotá (LIA) (supuesto)</t>
        </is>
      </c>
      <c r="T209" t="inlineStr">
        <is>
          <t>39743</t>
        </is>
      </c>
      <c r="U209" t="inlineStr">
        <is>
          <t>Fisicoquimicos_resultados.xlsx, Hoja 2 (transcripción del semillero)</t>
        </is>
      </c>
      <c r="V209" t="inlineStr">
        <is>
          <t>fuente_secundaria_sin_pdf;fecha_no_verificada</t>
        </is>
      </c>
    </row>
    <row r="210">
      <c r="A210" t="inlineStr">
        <is>
          <t>Leticia</t>
        </is>
      </c>
      <c r="B210" t="inlineStr">
        <is>
          <t>SIN-CODIGO (NUMAE)</t>
        </is>
      </c>
      <c r="C210" t="inlineStr">
        <is>
          <t>NUMAE</t>
        </is>
      </c>
      <c r="D210" t="inlineStr">
        <is>
          <t>POZO_NUMAE</t>
        </is>
      </c>
      <c r="E210" t="inlineStr">
        <is>
          <t>subterránea (pozo)</t>
        </is>
      </c>
      <c r="F210" t="inlineStr">
        <is>
          <t>2026-01-29</t>
        </is>
      </c>
      <c r="G210" t="inlineStr">
        <is>
          <t>2026-01-29</t>
        </is>
      </c>
      <c r="H210" t="inlineStr">
        <is>
          <t>2026-01</t>
        </is>
      </c>
      <c r="I210" t="inlineStr">
        <is>
          <t>magnesio</t>
        </is>
      </c>
      <c r="J210" t="inlineStr">
        <is>
          <t>Magnesio</t>
        </is>
      </c>
      <c r="K210" t="n">
        <v>2</v>
      </c>
      <c r="L210" t="inlineStr"/>
      <c r="N210" t="inlineStr">
        <is>
          <t>2,0</t>
        </is>
      </c>
      <c r="O210" t="inlineStr">
        <is>
          <t>mg/L Mg</t>
        </is>
      </c>
      <c r="P210" t="inlineStr">
        <is>
          <t>Mg</t>
        </is>
      </c>
      <c r="Q210" t="inlineStr">
        <is>
          <t>SM 3500-Mg,B</t>
        </is>
      </c>
      <c r="S210" t="inlineStr">
        <is>
          <t>Laboratorio de Ingeniería Ambiental, Facultad de Ingeniería, UNAL Bogotá (LIA) (supuesto)</t>
        </is>
      </c>
      <c r="T210" t="inlineStr">
        <is>
          <t>39743</t>
        </is>
      </c>
      <c r="U210" t="inlineStr">
        <is>
          <t>Fisicoquimicos_resultados.xlsx, Hoja 2 (transcripción del semillero)</t>
        </is>
      </c>
      <c r="V210" t="inlineStr">
        <is>
          <t>fuente_secundaria_sin_pdf;fecha_no_verificada</t>
        </is>
      </c>
    </row>
    <row r="211">
      <c r="A211" t="inlineStr">
        <is>
          <t>Leticia</t>
        </is>
      </c>
      <c r="B211" t="inlineStr">
        <is>
          <t>SIN-CODIGO (NUMAE)</t>
        </is>
      </c>
      <c r="C211" t="inlineStr">
        <is>
          <t>NUMAE</t>
        </is>
      </c>
      <c r="D211" t="inlineStr">
        <is>
          <t>POZO_NUMAE</t>
        </is>
      </c>
      <c r="E211" t="inlineStr">
        <is>
          <t>subterránea (pozo)</t>
        </is>
      </c>
      <c r="F211" t="inlineStr">
        <is>
          <t>2026-01-29</t>
        </is>
      </c>
      <c r="G211" t="inlineStr">
        <is>
          <t>2026-01-29</t>
        </is>
      </c>
      <c r="H211" t="inlineStr">
        <is>
          <t>2026-01</t>
        </is>
      </c>
      <c r="I211" t="inlineStr">
        <is>
          <t>hierro</t>
        </is>
      </c>
      <c r="J211" t="inlineStr">
        <is>
          <t>Hierro</t>
        </is>
      </c>
      <c r="K211" t="n">
        <v>0.1</v>
      </c>
      <c r="L211" t="inlineStr">
        <is>
          <t>&lt;</t>
        </is>
      </c>
      <c r="M211" t="n">
        <v>0.1</v>
      </c>
      <c r="N211" t="inlineStr">
        <is>
          <t>&lt;0,1</t>
        </is>
      </c>
      <c r="O211" t="inlineStr">
        <is>
          <t>mg/L Fe +3</t>
        </is>
      </c>
      <c r="P211" t="inlineStr">
        <is>
          <t>Fe total</t>
        </is>
      </c>
      <c r="Q211" t="inlineStr">
        <is>
          <t>SM 3111 B</t>
        </is>
      </c>
      <c r="S211" t="inlineStr">
        <is>
          <t>Laboratorio de Ingeniería Ambiental, Facultad de Ingeniería, UNAL Bogotá (LIA) (supuesto)</t>
        </is>
      </c>
      <c r="T211" t="inlineStr">
        <is>
          <t>39743</t>
        </is>
      </c>
      <c r="U211" t="inlineStr">
        <is>
          <t>Fisicoquimicos_resultados.xlsx, Hoja 2 (transcripción del semillero)</t>
        </is>
      </c>
      <c r="V211" t="inlineStr">
        <is>
          <t>fuente_secundaria_sin_pdf;fecha_no_verificada;signo_&lt;_inferido_de_LD/2</t>
        </is>
      </c>
    </row>
    <row r="212">
      <c r="A212" t="inlineStr">
        <is>
          <t>Leticia</t>
        </is>
      </c>
      <c r="B212" t="inlineStr">
        <is>
          <t>SIN-CODIGO (NUMAE)</t>
        </is>
      </c>
      <c r="C212" t="inlineStr">
        <is>
          <t>NUMAE</t>
        </is>
      </c>
      <c r="D212" t="inlineStr">
        <is>
          <t>POZO_NUMAE</t>
        </is>
      </c>
      <c r="E212" t="inlineStr">
        <is>
          <t>subterránea (pozo)</t>
        </is>
      </c>
      <c r="F212" t="inlineStr">
        <is>
          <t>2026-01-29</t>
        </is>
      </c>
      <c r="G212" t="inlineStr">
        <is>
          <t>2026-01-29</t>
        </is>
      </c>
      <c r="H212" t="inlineStr">
        <is>
          <t>2026-01</t>
        </is>
      </c>
      <c r="I212" t="inlineStr">
        <is>
          <t>manganeso</t>
        </is>
      </c>
      <c r="J212" t="inlineStr">
        <is>
          <t>Manganeso</t>
        </is>
      </c>
      <c r="K212" t="n">
        <v>0.05</v>
      </c>
      <c r="L212" t="inlineStr"/>
      <c r="N212" t="inlineStr">
        <is>
          <t>0,05</t>
        </is>
      </c>
      <c r="O212" t="inlineStr">
        <is>
          <t>mg/L Mn +7</t>
        </is>
      </c>
      <c r="P212" t="inlineStr">
        <is>
          <t>Mn total</t>
        </is>
      </c>
      <c r="Q212" t="inlineStr">
        <is>
          <t>SM 3111 B</t>
        </is>
      </c>
      <c r="S212" t="inlineStr">
        <is>
          <t>Laboratorio de Ingeniería Ambiental, Facultad de Ingeniería, UNAL Bogotá (LIA) (supuesto)</t>
        </is>
      </c>
      <c r="T212" t="inlineStr">
        <is>
          <t>39743</t>
        </is>
      </c>
      <c r="U212" t="inlineStr">
        <is>
          <t>Fisicoquimicos_resultados.xlsx, Hoja 2 (transcripción del semillero)</t>
        </is>
      </c>
      <c r="V212" t="inlineStr">
        <is>
          <t>fuente_secundaria_sin_pdf;fecha_no_verificada</t>
        </is>
      </c>
    </row>
    <row r="213">
      <c r="A213" t="inlineStr">
        <is>
          <t>Leticia</t>
        </is>
      </c>
      <c r="B213" t="inlineStr">
        <is>
          <t>SIN-CODIGO (NUMAE)</t>
        </is>
      </c>
      <c r="C213" t="inlineStr">
        <is>
          <t>NUMAE</t>
        </is>
      </c>
      <c r="D213" t="inlineStr">
        <is>
          <t>POZO_NUMAE</t>
        </is>
      </c>
      <c r="E213" t="inlineStr">
        <is>
          <t>subterránea (pozo)</t>
        </is>
      </c>
      <c r="F213" t="inlineStr">
        <is>
          <t>2026-01-29</t>
        </is>
      </c>
      <c r="G213" t="inlineStr">
        <is>
          <t>2026-01-29</t>
        </is>
      </c>
      <c r="H213" t="inlineStr">
        <is>
          <t>2026-01</t>
        </is>
      </c>
      <c r="I213" t="inlineStr">
        <is>
          <t>cot</t>
        </is>
      </c>
      <c r="J213" t="inlineStr">
        <is>
          <t>Carbono Orgánico Total</t>
        </is>
      </c>
      <c r="K213" t="n">
        <v>1</v>
      </c>
      <c r="L213" t="inlineStr">
        <is>
          <t>&lt;</t>
        </is>
      </c>
      <c r="M213" t="n">
        <v>1</v>
      </c>
      <c r="N213" t="inlineStr">
        <is>
          <t>&lt;1,0</t>
        </is>
      </c>
      <c r="O213" t="inlineStr">
        <is>
          <t>mg/L C</t>
        </is>
      </c>
      <c r="P213" t="inlineStr">
        <is>
          <t>C</t>
        </is>
      </c>
      <c r="Q213" t="inlineStr">
        <is>
          <t>SM 5310 B</t>
        </is>
      </c>
      <c r="S213" t="inlineStr">
        <is>
          <t>Laboratorio de Ingeniería Ambiental, Facultad de Ingeniería, UNAL Bogotá (LIA) (supuesto)</t>
        </is>
      </c>
      <c r="T213" t="inlineStr">
        <is>
          <t>39743</t>
        </is>
      </c>
      <c r="U213" t="inlineStr">
        <is>
          <t>Fisicoquimicos_resultados.xlsx, Hoja 2 (transcripción del semillero)</t>
        </is>
      </c>
      <c r="V213" t="inlineStr">
        <is>
          <t>fuente_secundaria_sin_pdf;fecha_no_verificada;signo_&lt;_inferido_de_LD/2</t>
        </is>
      </c>
    </row>
    <row r="214">
      <c r="A214" t="inlineStr">
        <is>
          <t>Leticia</t>
        </is>
      </c>
      <c r="B214" t="inlineStr">
        <is>
          <t>SIN-CODIGO (NUMAE)</t>
        </is>
      </c>
      <c r="C214" t="inlineStr">
        <is>
          <t>NUMAE</t>
        </is>
      </c>
      <c r="D214" t="inlineStr">
        <is>
          <t>POZO_NUMAE</t>
        </is>
      </c>
      <c r="E214" t="inlineStr">
        <is>
          <t>subterránea (pozo)</t>
        </is>
      </c>
      <c r="F214" t="inlineStr">
        <is>
          <t>2026-01-29</t>
        </is>
      </c>
      <c r="G214" t="inlineStr">
        <is>
          <t>2026-01-29</t>
        </is>
      </c>
      <c r="H214" t="inlineStr">
        <is>
          <t>2026-01</t>
        </is>
      </c>
      <c r="I214" t="inlineStr">
        <is>
          <t>zinc</t>
        </is>
      </c>
      <c r="J214" t="inlineStr">
        <is>
          <t>Zinc</t>
        </is>
      </c>
      <c r="K214" t="n">
        <v>0.05</v>
      </c>
      <c r="L214" t="inlineStr">
        <is>
          <t>&lt;</t>
        </is>
      </c>
      <c r="M214" t="n">
        <v>0.05</v>
      </c>
      <c r="N214" t="inlineStr">
        <is>
          <t>&lt;0,05</t>
        </is>
      </c>
      <c r="O214" t="inlineStr">
        <is>
          <t>mg/L Zn</t>
        </is>
      </c>
      <c r="P214" t="inlineStr">
        <is>
          <t>Zn</t>
        </is>
      </c>
      <c r="Q214" t="inlineStr">
        <is>
          <t>SM 3111 B</t>
        </is>
      </c>
      <c r="S214" t="inlineStr">
        <is>
          <t>Laboratorio de Ingeniería Ambiental, Facultad de Ingeniería, UNAL Bogotá (LIA) (supuesto)</t>
        </is>
      </c>
      <c r="T214" t="inlineStr">
        <is>
          <t>39743</t>
        </is>
      </c>
      <c r="U214" t="inlineStr">
        <is>
          <t>Fisicoquimicos_resultados.xlsx, Hoja 2 (transcripción del semillero)</t>
        </is>
      </c>
      <c r="V214" t="inlineStr">
        <is>
          <t>fuente_secundaria_sin_pdf;fecha_no_verificada;signo_&lt;_inferido_de_LD/2</t>
        </is>
      </c>
    </row>
    <row r="215">
      <c r="A215" t="inlineStr">
        <is>
          <t>Leticia</t>
        </is>
      </c>
      <c r="B215" t="inlineStr">
        <is>
          <t>SIN-CODIGO (NUMAE)</t>
        </is>
      </c>
      <c r="C215" t="inlineStr">
        <is>
          <t>NUMAE</t>
        </is>
      </c>
      <c r="D215" t="inlineStr">
        <is>
          <t>POZO_NUMAE</t>
        </is>
      </c>
      <c r="E215" t="inlineStr">
        <is>
          <t>subterránea (pozo)</t>
        </is>
      </c>
      <c r="F215" t="inlineStr">
        <is>
          <t>2026-01-29</t>
        </is>
      </c>
      <c r="G215" t="inlineStr">
        <is>
          <t>2026-01-29</t>
        </is>
      </c>
      <c r="H215" t="inlineStr">
        <is>
          <t>2026-01</t>
        </is>
      </c>
      <c r="I215" t="inlineStr">
        <is>
          <t>fluoruros</t>
        </is>
      </c>
      <c r="J215" t="inlineStr">
        <is>
          <t>Fluoruros</t>
        </is>
      </c>
      <c r="K215" t="n">
        <v>0.02</v>
      </c>
      <c r="L215" t="inlineStr">
        <is>
          <t>&lt;</t>
        </is>
      </c>
      <c r="M215" t="n">
        <v>0.02</v>
      </c>
      <c r="N215" t="inlineStr">
        <is>
          <t>&lt;0,02</t>
        </is>
      </c>
      <c r="O215" t="inlineStr">
        <is>
          <t>mg/L F-</t>
        </is>
      </c>
      <c r="P215" t="inlineStr">
        <is>
          <t>F-</t>
        </is>
      </c>
      <c r="Q215" t="inlineStr">
        <is>
          <t>SM 4110 B</t>
        </is>
      </c>
      <c r="S215" t="inlineStr">
        <is>
          <t>Laboratorio de Ingeniería Ambiental, Facultad de Ingeniería, UNAL Bogotá (LIA) (supuesto)</t>
        </is>
      </c>
      <c r="T215" t="inlineStr">
        <is>
          <t>39743</t>
        </is>
      </c>
      <c r="U215" t="inlineStr">
        <is>
          <t>Fisicoquimicos_resultados.xlsx, Hoja 2 (transcripción del semillero)</t>
        </is>
      </c>
      <c r="V215" t="inlineStr">
        <is>
          <t>fuente_secundaria_sin_pdf;fecha_no_verificada;signo_&lt;_inferido_de_LD/2</t>
        </is>
      </c>
    </row>
    <row r="216">
      <c r="A216" t="inlineStr">
        <is>
          <t>Leticia</t>
        </is>
      </c>
      <c r="B216" t="inlineStr">
        <is>
          <t>SIN-CODIGO (NUMAE)</t>
        </is>
      </c>
      <c r="C216" t="inlineStr">
        <is>
          <t>NUMAE</t>
        </is>
      </c>
      <c r="D216" t="inlineStr">
        <is>
          <t>POZO_NUMAE</t>
        </is>
      </c>
      <c r="E216" t="inlineStr">
        <is>
          <t>subterránea (pozo)</t>
        </is>
      </c>
      <c r="F216" t="inlineStr">
        <is>
          <t>2026-01-29</t>
        </is>
      </c>
      <c r="G216" t="inlineStr">
        <is>
          <t>2026-01-29</t>
        </is>
      </c>
      <c r="H216" t="inlineStr">
        <is>
          <t>2026-01</t>
        </is>
      </c>
      <c r="I216" t="inlineStr">
        <is>
          <t>nitritos_n</t>
        </is>
      </c>
      <c r="J216" t="inlineStr">
        <is>
          <t>Nitritos</t>
        </is>
      </c>
      <c r="K216" t="n">
        <v>0.1</v>
      </c>
      <c r="L216" t="inlineStr">
        <is>
          <t>&lt;</t>
        </is>
      </c>
      <c r="M216" t="n">
        <v>0.1</v>
      </c>
      <c r="N216" t="inlineStr">
        <is>
          <t>&lt;0,1</t>
        </is>
      </c>
      <c r="O216" t="inlineStr">
        <is>
          <t>mg/L N-NO2-</t>
        </is>
      </c>
      <c r="P216" t="inlineStr">
        <is>
          <t>N (de NO2-)</t>
        </is>
      </c>
      <c r="Q216" t="inlineStr">
        <is>
          <t>SM 4110 B</t>
        </is>
      </c>
      <c r="S216" t="inlineStr">
        <is>
          <t>Laboratorio de Ingeniería Ambiental, Facultad de Ingeniería, UNAL Bogotá (LIA) (supuesto)</t>
        </is>
      </c>
      <c r="T216" t="inlineStr">
        <is>
          <t>39743</t>
        </is>
      </c>
      <c r="U216" t="inlineStr">
        <is>
          <t>Fisicoquimicos_resultados.xlsx, Hoja 2 (transcripción del semillero)</t>
        </is>
      </c>
      <c r="V216" t="inlineStr">
        <is>
          <t>fuente_secundaria_sin_pdf;fecha_no_verificada;signo_&lt;_inferido_de_LD/2</t>
        </is>
      </c>
    </row>
    <row r="217">
      <c r="A217" t="inlineStr">
        <is>
          <t>Leticia</t>
        </is>
      </c>
      <c r="B217" t="inlineStr">
        <is>
          <t>SIN-CODIGO (NUMAE)</t>
        </is>
      </c>
      <c r="C217" t="inlineStr">
        <is>
          <t>NUMAE</t>
        </is>
      </c>
      <c r="D217" t="inlineStr">
        <is>
          <t>POZO_NUMAE</t>
        </is>
      </c>
      <c r="E217" t="inlineStr">
        <is>
          <t>subterránea (pozo)</t>
        </is>
      </c>
      <c r="F217" t="inlineStr">
        <is>
          <t>2026-01-29</t>
        </is>
      </c>
      <c r="G217" t="inlineStr">
        <is>
          <t>2026-01-29</t>
        </is>
      </c>
      <c r="H217" t="inlineStr">
        <is>
          <t>2026-01</t>
        </is>
      </c>
      <c r="I217" t="inlineStr">
        <is>
          <t>nitratos_n</t>
        </is>
      </c>
      <c r="J217" t="inlineStr">
        <is>
          <t>Nitratos</t>
        </is>
      </c>
      <c r="K217" t="n">
        <v>19.2</v>
      </c>
      <c r="L217" t="inlineStr"/>
      <c r="N217" t="inlineStr">
        <is>
          <t>19,2</t>
        </is>
      </c>
      <c r="O217" t="inlineStr">
        <is>
          <t>mg/L N-NO3-</t>
        </is>
      </c>
      <c r="P217" t="inlineStr">
        <is>
          <t>N (de NO3-)</t>
        </is>
      </c>
      <c r="Q217" t="inlineStr">
        <is>
          <t>SM 4110 B</t>
        </is>
      </c>
      <c r="S217" t="inlineStr">
        <is>
          <t>Laboratorio de Ingeniería Ambiental, Facultad de Ingeniería, UNAL Bogotá (LIA) (supuesto)</t>
        </is>
      </c>
      <c r="T217" t="inlineStr">
        <is>
          <t>39743</t>
        </is>
      </c>
      <c r="U217" t="inlineStr">
        <is>
          <t>Fisicoquimicos_resultados.xlsx, Hoja 2 (transcripción del semillero)</t>
        </is>
      </c>
      <c r="V217" t="inlineStr">
        <is>
          <t>fuente_secundaria_sin_pdf;fecha_no_verificada</t>
        </is>
      </c>
    </row>
    <row r="218">
      <c r="A218" t="inlineStr">
        <is>
          <t>Leticia</t>
        </is>
      </c>
      <c r="B218" t="inlineStr">
        <is>
          <t>SIN-CODIGO (NUMAE)</t>
        </is>
      </c>
      <c r="C218" t="inlineStr">
        <is>
          <t>NUMAE</t>
        </is>
      </c>
      <c r="D218" t="inlineStr">
        <is>
          <t>POZO_NUMAE</t>
        </is>
      </c>
      <c r="E218" t="inlineStr">
        <is>
          <t>subterránea (pozo)</t>
        </is>
      </c>
      <c r="F218" t="inlineStr">
        <is>
          <t>2026-01-29</t>
        </is>
      </c>
      <c r="G218" t="inlineStr">
        <is>
          <t>2026-01-29</t>
        </is>
      </c>
      <c r="H218" t="inlineStr">
        <is>
          <t>2026-01</t>
        </is>
      </c>
      <c r="I218" t="inlineStr">
        <is>
          <t>cloruros</t>
        </is>
      </c>
      <c r="J218" t="inlineStr">
        <is>
          <t>Cloruros</t>
        </is>
      </c>
      <c r="K218" t="n">
        <v>15</v>
      </c>
      <c r="L218" t="inlineStr"/>
      <c r="N218" t="inlineStr">
        <is>
          <t>15,0</t>
        </is>
      </c>
      <c r="O218" t="inlineStr">
        <is>
          <t>mg/L Cl-</t>
        </is>
      </c>
      <c r="P218" t="inlineStr">
        <is>
          <t>Cl-</t>
        </is>
      </c>
      <c r="Q218" t="inlineStr">
        <is>
          <t>SM 4110 B</t>
        </is>
      </c>
      <c r="S218" t="inlineStr">
        <is>
          <t>Laboratorio de Ingeniería Ambiental, Facultad de Ingeniería, UNAL Bogotá (LIA) (supuesto)</t>
        </is>
      </c>
      <c r="T218" t="inlineStr">
        <is>
          <t>39743</t>
        </is>
      </c>
      <c r="U218" t="inlineStr">
        <is>
          <t>Fisicoquimicos_resultados.xlsx, Hoja 2 (transcripción del semillero)</t>
        </is>
      </c>
      <c r="V218" t="inlineStr">
        <is>
          <t>fuente_secundaria_sin_pdf;fecha_no_verificada</t>
        </is>
      </c>
    </row>
    <row r="219">
      <c r="A219" t="inlineStr">
        <is>
          <t>Leticia</t>
        </is>
      </c>
      <c r="B219" t="inlineStr">
        <is>
          <t>SIN-CODIGO (NUMAE)</t>
        </is>
      </c>
      <c r="C219" t="inlineStr">
        <is>
          <t>NUMAE</t>
        </is>
      </c>
      <c r="D219" t="inlineStr">
        <is>
          <t>POZO_NUMAE</t>
        </is>
      </c>
      <c r="E219" t="inlineStr">
        <is>
          <t>subterránea (pozo)</t>
        </is>
      </c>
      <c r="F219" t="inlineStr">
        <is>
          <t>2026-01-29</t>
        </is>
      </c>
      <c r="G219" t="inlineStr">
        <is>
          <t>2026-01-29</t>
        </is>
      </c>
      <c r="H219" t="inlineStr">
        <is>
          <t>2026-01</t>
        </is>
      </c>
      <c r="I219" t="inlineStr">
        <is>
          <t>sulfatos</t>
        </is>
      </c>
      <c r="J219" t="inlineStr">
        <is>
          <t>Sulfatos</t>
        </is>
      </c>
      <c r="K219" t="n">
        <v>0.5</v>
      </c>
      <c r="L219" t="inlineStr"/>
      <c r="N219" t="inlineStr">
        <is>
          <t>0,5</t>
        </is>
      </c>
      <c r="O219" t="inlineStr">
        <is>
          <t>mg/L SO4=</t>
        </is>
      </c>
      <c r="P219" t="inlineStr">
        <is>
          <t>SO4 2-</t>
        </is>
      </c>
      <c r="Q219" t="inlineStr">
        <is>
          <t>SM 4110 B</t>
        </is>
      </c>
      <c r="S219" t="inlineStr">
        <is>
          <t>Laboratorio de Ingeniería Ambiental, Facultad de Ingeniería, UNAL Bogotá (LIA) (supuesto)</t>
        </is>
      </c>
      <c r="T219" t="inlineStr">
        <is>
          <t>39743</t>
        </is>
      </c>
      <c r="U219" t="inlineStr">
        <is>
          <t>Fisicoquimicos_resultados.xlsx, Hoja 2 (transcripción del semillero)</t>
        </is>
      </c>
      <c r="V219" t="inlineStr">
        <is>
          <t>fuente_secundaria_sin_pdf;fecha_no_verificada</t>
        </is>
      </c>
    </row>
    <row r="220">
      <c r="A220" t="inlineStr">
        <is>
          <t>Leticia</t>
        </is>
      </c>
      <c r="B220" t="inlineStr">
        <is>
          <t>SIN-CODIGO (NUMAE)</t>
        </is>
      </c>
      <c r="C220" t="inlineStr">
        <is>
          <t>NUMAE</t>
        </is>
      </c>
      <c r="D220" t="inlineStr">
        <is>
          <t>POZO_NUMAE</t>
        </is>
      </c>
      <c r="E220" t="inlineStr">
        <is>
          <t>subterránea (pozo)</t>
        </is>
      </c>
      <c r="F220" t="inlineStr">
        <is>
          <t>2026-01-29</t>
        </is>
      </c>
      <c r="G220" t="inlineStr">
        <is>
          <t>2026-01-29</t>
        </is>
      </c>
      <c r="H220" t="inlineStr">
        <is>
          <t>2026-01</t>
        </is>
      </c>
      <c r="I220" t="inlineStr">
        <is>
          <t>ortofosfatos</t>
        </is>
      </c>
      <c r="J220" t="inlineStr">
        <is>
          <t>Ortofosfatos</t>
        </is>
      </c>
      <c r="K220" t="n">
        <v>0.2</v>
      </c>
      <c r="L220" t="inlineStr">
        <is>
          <t>&lt;</t>
        </is>
      </c>
      <c r="M220" t="n">
        <v>0.2</v>
      </c>
      <c r="N220" t="inlineStr">
        <is>
          <t>&lt;0,2</t>
        </is>
      </c>
      <c r="O220" t="inlineStr">
        <is>
          <t>mg/L PO4-3</t>
        </is>
      </c>
      <c r="P220" t="inlineStr">
        <is>
          <t>PO4 3-</t>
        </is>
      </c>
      <c r="Q220" t="inlineStr">
        <is>
          <t>SM 4110 B</t>
        </is>
      </c>
      <c r="S220" t="inlineStr">
        <is>
          <t>Laboratorio de Ingeniería Ambiental, Facultad de Ingeniería, UNAL Bogotá (LIA) (supuesto)</t>
        </is>
      </c>
      <c r="T220" t="inlineStr">
        <is>
          <t>39743</t>
        </is>
      </c>
      <c r="U220" t="inlineStr">
        <is>
          <t>Fisicoquimicos_resultados.xlsx, Hoja 2 (transcripción del semillero)</t>
        </is>
      </c>
      <c r="V220" t="inlineStr">
        <is>
          <t>fuente_secundaria_sin_pdf;fecha_no_verificada;signo_&lt;_inferido_de_LD/2</t>
        </is>
      </c>
    </row>
    <row r="221">
      <c r="A221" t="inlineStr">
        <is>
          <t>Leticia</t>
        </is>
      </c>
      <c r="B221" t="inlineStr">
        <is>
          <t>SIN-CODIGO (NUMAE)</t>
        </is>
      </c>
      <c r="C221" t="inlineStr">
        <is>
          <t>NUMAE</t>
        </is>
      </c>
      <c r="D221" t="inlineStr">
        <is>
          <t>POZO_NUMAE</t>
        </is>
      </c>
      <c r="E221" t="inlineStr">
        <is>
          <t>subterránea (pozo)</t>
        </is>
      </c>
      <c r="F221" t="inlineStr">
        <is>
          <t>2026-01-29</t>
        </is>
      </c>
      <c r="G221" t="inlineStr">
        <is>
          <t>2026-01-29</t>
        </is>
      </c>
      <c r="H221" t="inlineStr">
        <is>
          <t>2026-01</t>
        </is>
      </c>
      <c r="I221" t="inlineStr">
        <is>
          <t>solidos_totales</t>
        </is>
      </c>
      <c r="J221" t="inlineStr">
        <is>
          <t>Sólidos Totales</t>
        </is>
      </c>
      <c r="K221" t="n">
        <v>54</v>
      </c>
      <c r="L221" t="inlineStr"/>
      <c r="N221" t="inlineStr">
        <is>
          <t>54,0</t>
        </is>
      </c>
      <c r="O221" t="inlineStr">
        <is>
          <t>mg/L</t>
        </is>
      </c>
      <c r="P221" t="inlineStr">
        <is>
          <t>residuo a 103–105 °C</t>
        </is>
      </c>
      <c r="Q221" t="inlineStr">
        <is>
          <t>SM 2540 B</t>
        </is>
      </c>
      <c r="S221" t="inlineStr">
        <is>
          <t>Laboratorio de Ingeniería Ambiental, Facultad de Ingeniería, UNAL Bogotá (LIA) (supuesto)</t>
        </is>
      </c>
      <c r="T221" t="inlineStr">
        <is>
          <t>39743</t>
        </is>
      </c>
      <c r="U221" t="inlineStr">
        <is>
          <t>Fisicoquimicos_resultados.xlsx, Hoja 2 (transcripción del semillero)</t>
        </is>
      </c>
      <c r="V221" t="inlineStr">
        <is>
          <t>fuente_secundaria_sin_pdf;fecha_no_verificada</t>
        </is>
      </c>
    </row>
    <row r="222">
      <c r="A222" t="inlineStr">
        <is>
          <t>Leticia</t>
        </is>
      </c>
      <c r="B222" t="inlineStr">
        <is>
          <t>SIN-CODIGO (NUMAE)</t>
        </is>
      </c>
      <c r="C222" t="inlineStr">
        <is>
          <t>NUMAE</t>
        </is>
      </c>
      <c r="D222" t="inlineStr">
        <is>
          <t>POZO_NUMAE</t>
        </is>
      </c>
      <c r="E222" t="inlineStr">
        <is>
          <t>subterránea (pozo)</t>
        </is>
      </c>
      <c r="F222" t="inlineStr">
        <is>
          <t>2026-01-29</t>
        </is>
      </c>
      <c r="G222" t="inlineStr">
        <is>
          <t>2026-01-29</t>
        </is>
      </c>
      <c r="H222" t="inlineStr">
        <is>
          <t>2026-01</t>
        </is>
      </c>
      <c r="I222" t="inlineStr">
        <is>
          <t>sst</t>
        </is>
      </c>
      <c r="J222" t="inlineStr">
        <is>
          <t>Sólidos Suspendidos Totales</t>
        </is>
      </c>
      <c r="K222" t="n">
        <v>5</v>
      </c>
      <c r="L222" t="inlineStr">
        <is>
          <t>&lt;</t>
        </is>
      </c>
      <c r="M222" t="n">
        <v>5</v>
      </c>
      <c r="N222" t="inlineStr">
        <is>
          <t>&lt;5</t>
        </is>
      </c>
      <c r="O222" t="inlineStr">
        <is>
          <t>mg/L</t>
        </is>
      </c>
      <c r="P222" t="inlineStr">
        <is>
          <t>retenidos en filtro</t>
        </is>
      </c>
      <c r="Q222" t="inlineStr">
        <is>
          <t>SM 2540 D</t>
        </is>
      </c>
      <c r="S222" t="inlineStr">
        <is>
          <t>Laboratorio de Ingeniería Ambiental, Facultad de Ingeniería, UNAL Bogotá (LIA) (supuesto)</t>
        </is>
      </c>
      <c r="T222" t="inlineStr">
        <is>
          <t>39743</t>
        </is>
      </c>
      <c r="U222" t="inlineStr">
        <is>
          <t>Fisicoquimicos_resultados.xlsx, Hoja 2 (transcripción del semillero)</t>
        </is>
      </c>
      <c r="V222" t="inlineStr">
        <is>
          <t>fuente_secundaria_sin_pdf;fecha_no_verificada;signo_&lt;_inferido_de_LD/2</t>
        </is>
      </c>
    </row>
    <row r="223">
      <c r="A223" t="inlineStr">
        <is>
          <t>Leticia</t>
        </is>
      </c>
      <c r="B223" t="inlineStr">
        <is>
          <t>SIN-CODIGO (NUMAE)</t>
        </is>
      </c>
      <c r="C223" t="inlineStr">
        <is>
          <t>NUMAE</t>
        </is>
      </c>
      <c r="D223" t="inlineStr">
        <is>
          <t>POZO_NUMAE</t>
        </is>
      </c>
      <c r="E223" t="inlineStr">
        <is>
          <t>subterránea (pozo)</t>
        </is>
      </c>
      <c r="F223" t="inlineStr">
        <is>
          <t>2026-01-29</t>
        </is>
      </c>
      <c r="G223" t="inlineStr">
        <is>
          <t>2026-01-29</t>
        </is>
      </c>
      <c r="H223" t="inlineStr">
        <is>
          <t>2026-01</t>
        </is>
      </c>
      <c r="I223" t="inlineStr">
        <is>
          <t>coliformes_totales</t>
        </is>
      </c>
      <c r="J223" t="inlineStr">
        <is>
          <t>Coliformes totales</t>
        </is>
      </c>
      <c r="K223" t="n">
        <v>18</v>
      </c>
      <c r="L223" t="inlineStr">
        <is>
          <t>&lt;</t>
        </is>
      </c>
      <c r="M223" t="n">
        <v>18</v>
      </c>
      <c r="N223" t="inlineStr">
        <is>
          <t>&lt;18</t>
        </is>
      </c>
      <c r="O223" t="inlineStr">
        <is>
          <t>NMP/100 mL</t>
        </is>
      </c>
      <c r="P223" t="inlineStr">
        <is>
          <t>NMP</t>
        </is>
      </c>
      <c r="Q223" t="inlineStr">
        <is>
          <t>SM 9221 C</t>
        </is>
      </c>
      <c r="S223" t="inlineStr">
        <is>
          <t>Laboratorio de Ingeniería Ambiental, Facultad de Ingeniería, UNAL Bogotá (LIA) (supuesto)</t>
        </is>
      </c>
      <c r="T223" t="inlineStr">
        <is>
          <t>39743</t>
        </is>
      </c>
      <c r="U223" t="inlineStr">
        <is>
          <t>Fisicoquimicos_resultados.xlsx, Hoja 2 (transcripción del semillero)</t>
        </is>
      </c>
      <c r="V223" t="inlineStr">
        <is>
          <t>fuente_secundaria_sin_pdf;fecha_no_verificada;signo_&lt;_inferido_de_LD/2</t>
        </is>
      </c>
    </row>
    <row r="224">
      <c r="A224" t="inlineStr">
        <is>
          <t>Leticia</t>
        </is>
      </c>
      <c r="B224" t="inlineStr">
        <is>
          <t>SIN-CODIGO (NUMAE)</t>
        </is>
      </c>
      <c r="C224" t="inlineStr">
        <is>
          <t>NUMAE</t>
        </is>
      </c>
      <c r="D224" t="inlineStr">
        <is>
          <t>POZO_NUMAE</t>
        </is>
      </c>
      <c r="E224" t="inlineStr">
        <is>
          <t>subterránea (pozo)</t>
        </is>
      </c>
      <c r="F224" t="inlineStr">
        <is>
          <t>2026-01-29</t>
        </is>
      </c>
      <c r="G224" t="inlineStr">
        <is>
          <t>2026-01-29</t>
        </is>
      </c>
      <c r="H224" t="inlineStr">
        <is>
          <t>2026-01</t>
        </is>
      </c>
      <c r="I224" t="inlineStr">
        <is>
          <t>e_coli</t>
        </is>
      </c>
      <c r="J224" t="inlineStr">
        <is>
          <t>E. coli</t>
        </is>
      </c>
      <c r="K224" t="n">
        <v>18</v>
      </c>
      <c r="L224" t="inlineStr">
        <is>
          <t>&lt;</t>
        </is>
      </c>
      <c r="M224" t="n">
        <v>18</v>
      </c>
      <c r="N224" t="inlineStr">
        <is>
          <t>&lt;18</t>
        </is>
      </c>
      <c r="O224" t="inlineStr">
        <is>
          <t>NMP/100 mL</t>
        </is>
      </c>
      <c r="P224" t="inlineStr">
        <is>
          <t>NMP</t>
        </is>
      </c>
      <c r="Q224" t="inlineStr">
        <is>
          <t>SM 9221 C</t>
        </is>
      </c>
      <c r="S224" t="inlineStr">
        <is>
          <t>Laboratorio de Ingeniería Ambiental, Facultad de Ingeniería, UNAL Bogotá (LIA) (supuesto)</t>
        </is>
      </c>
      <c r="T224" t="inlineStr">
        <is>
          <t>39743</t>
        </is>
      </c>
      <c r="U224" t="inlineStr">
        <is>
          <t>Fisicoquimicos_resultados.xlsx, Hoja 2 (transcripción del semillero)</t>
        </is>
      </c>
      <c r="V224" t="inlineStr">
        <is>
          <t>fuente_secundaria_sin_pdf;fecha_no_verificada;signo_&lt;_inferido_de_LD/2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40" customWidth="1" min="3" max="3"/>
    <col width="14" customWidth="1" min="4" max="4"/>
    <col width="18" customWidth="1" min="5" max="5"/>
    <col width="14" customWidth="1" min="6" max="6"/>
    <col width="13" customWidth="1" min="7" max="7"/>
    <col width="11" customWidth="1" min="8" max="8"/>
    <col width="12" customWidth="1" min="9" max="9"/>
    <col width="13" customWidth="1" min="10" max="10"/>
    <col width="13" customWidth="1" min="11" max="11"/>
    <col width="9" customWidth="1" min="12" max="12"/>
    <col width="10" customWidth="1" min="13" max="13"/>
    <col width="10" customWidth="1" min="14" max="14"/>
    <col width="40" customWidth="1" min="15" max="15"/>
    <col width="70" customWidth="1" min="16" max="16"/>
  </cols>
  <sheetData>
    <row r="1">
      <c r="A1" s="4" t="inlineStr">
        <is>
          <t>informe</t>
        </is>
      </c>
      <c r="B1" s="4" t="inlineStr">
        <is>
          <t>punto</t>
        </is>
      </c>
      <c r="C1" s="4" t="inlineStr">
        <is>
          <t>nombre_punto</t>
        </is>
      </c>
      <c r="D1" s="4" t="inlineStr">
        <is>
          <t>grupo_punto</t>
        </is>
      </c>
      <c r="E1" s="4" t="inlineStr">
        <is>
          <t>tipo_agua</t>
        </is>
      </c>
      <c r="F1" s="4" t="inlineStr">
        <is>
          <t>tipo_muestra_informe</t>
        </is>
      </c>
      <c r="G1" s="4" t="inlineStr">
        <is>
          <t>fecha_muestreo</t>
        </is>
      </c>
      <c r="H1" s="4" t="inlineStr">
        <is>
          <t>hora_muestreo</t>
        </is>
      </c>
      <c r="I1" s="4" t="inlineStr">
        <is>
          <t>fecha_uso</t>
        </is>
      </c>
      <c r="J1" s="4" t="inlineStr">
        <is>
          <t>fecha_registro_lab</t>
        </is>
      </c>
      <c r="K1" s="4" t="inlineStr">
        <is>
          <t>fecha_entrega_lab</t>
        </is>
      </c>
      <c r="L1" s="4" t="inlineStr">
        <is>
          <t>campana</t>
        </is>
      </c>
      <c r="M1" s="4" t="inlineStr">
        <is>
          <t>cotizacion</t>
        </is>
      </c>
      <c r="N1" s="4" t="inlineStr">
        <is>
          <t>orden_trabajo</t>
        </is>
      </c>
      <c r="O1" s="4" t="inlineStr">
        <is>
          <t>fuente</t>
        </is>
      </c>
      <c r="P1" s="4" t="inlineStr">
        <is>
          <t>observaciones</t>
        </is>
      </c>
    </row>
    <row r="2">
      <c r="A2" t="inlineStr">
        <is>
          <t>39741</t>
        </is>
      </c>
      <c r="B2" t="inlineStr">
        <is>
          <t>SIN-CODIGO (Pozo UN)</t>
        </is>
      </c>
      <c r="C2" t="inlineStr">
        <is>
          <t>Pozo UN</t>
        </is>
      </c>
      <c r="D2" t="inlineStr">
        <is>
          <t>POZO_UN</t>
        </is>
      </c>
      <c r="E2" t="inlineStr">
        <is>
          <t>subterránea (pozo)</t>
        </is>
      </c>
      <c r="F2" t="inlineStr"/>
      <c r="G2" t="inlineStr">
        <is>
          <t>2026-01-29</t>
        </is>
      </c>
      <c r="H2" t="inlineStr"/>
      <c r="I2" t="inlineStr">
        <is>
          <t>2026-01-29</t>
        </is>
      </c>
      <c r="J2" t="inlineStr"/>
      <c r="K2" t="inlineStr"/>
      <c r="L2" t="inlineStr">
        <is>
          <t>2026-01</t>
        </is>
      </c>
      <c r="M2" t="inlineStr"/>
      <c r="N2" t="inlineStr"/>
      <c r="O2" t="inlineStr">
        <is>
          <t>Fisicoquimicos_resultados.xlsx, Hoja 2 (transcripción del semillero)</t>
        </is>
      </c>
      <c r="P2" s="5" t="inlineStr">
        <is>
          <t>Sin PDF. Valores de la hoja del semillero. La fecha 2026-01-29 no se pudo verificar (en las otras filas esa columna es la fecha de entrega o registro).</t>
        </is>
      </c>
    </row>
    <row r="3">
      <c r="A3" t="inlineStr">
        <is>
          <t>39742</t>
        </is>
      </c>
      <c r="B3" t="inlineStr">
        <is>
          <t>SIN-CODIGO (Río Amazonas)</t>
        </is>
      </c>
      <c r="C3" t="inlineStr">
        <is>
          <t>Río Amazonas</t>
        </is>
      </c>
      <c r="D3" t="inlineStr">
        <is>
          <t>RIO_AMAZONAS</t>
        </is>
      </c>
      <c r="E3" t="inlineStr">
        <is>
          <t>superficial (río)</t>
        </is>
      </c>
      <c r="F3" t="inlineStr"/>
      <c r="G3" t="inlineStr">
        <is>
          <t>2026-01-29</t>
        </is>
      </c>
      <c r="H3" t="inlineStr"/>
      <c r="I3" t="inlineStr">
        <is>
          <t>2026-01-29</t>
        </is>
      </c>
      <c r="J3" t="inlineStr"/>
      <c r="K3" t="inlineStr"/>
      <c r="L3" t="inlineStr">
        <is>
          <t>2026-01</t>
        </is>
      </c>
      <c r="M3" t="inlineStr"/>
      <c r="N3" t="inlineStr"/>
      <c r="O3" t="inlineStr">
        <is>
          <t>Fisicoquimicos_resultados.xlsx, Hoja 2 (transcripción del semillero)</t>
        </is>
      </c>
      <c r="P3" s="5" t="inlineStr">
        <is>
          <t>Sin PDF. Agua superficial del río Amazonas (útil como contraste).</t>
        </is>
      </c>
    </row>
    <row r="4">
      <c r="A4" t="inlineStr">
        <is>
          <t>39743</t>
        </is>
      </c>
      <c r="B4" t="inlineStr">
        <is>
          <t>SIN-CODIGO (NUMAE)</t>
        </is>
      </c>
      <c r="C4" t="inlineStr">
        <is>
          <t>NUMAE</t>
        </is>
      </c>
      <c r="D4" t="inlineStr">
        <is>
          <t>POZO_NUMAE</t>
        </is>
      </c>
      <c r="E4" t="inlineStr">
        <is>
          <t>subterránea (pozo)</t>
        </is>
      </c>
      <c r="F4" t="inlineStr"/>
      <c r="G4" t="inlineStr">
        <is>
          <t>2026-01-29</t>
        </is>
      </c>
      <c r="H4" t="inlineStr"/>
      <c r="I4" t="inlineStr">
        <is>
          <t>2026-01-29</t>
        </is>
      </c>
      <c r="J4" t="inlineStr"/>
      <c r="K4" t="inlineStr"/>
      <c r="L4" t="inlineStr">
        <is>
          <t>2026-01</t>
        </is>
      </c>
      <c r="M4" t="inlineStr"/>
      <c r="N4" t="inlineStr"/>
      <c r="O4" t="inlineStr">
        <is>
          <t>Fisicoquimicos_resultados.xlsx, Hoja 2 (transcripción del semillero)</t>
        </is>
      </c>
      <c r="P4" s="5" t="inlineStr">
        <is>
          <t>Sin PDF. Valores de la hoja del semillero.</t>
        </is>
      </c>
    </row>
    <row r="5">
      <c r="A5" t="inlineStr">
        <is>
          <t>39915</t>
        </is>
      </c>
      <c r="B5" t="inlineStr">
        <is>
          <t>UN-LE-025</t>
        </is>
      </c>
      <c r="C5" t="inlineStr">
        <is>
          <t>Agua cruda, superficial, pozo Universidad Nacional Amazonia</t>
        </is>
      </c>
      <c r="D5" t="inlineStr">
        <is>
          <t>POZO_UN</t>
        </is>
      </c>
      <c r="E5" t="inlineStr">
        <is>
          <t>subterránea (pozo)</t>
        </is>
      </c>
      <c r="F5" t="inlineStr">
        <is>
          <t>SUPERFICIAL</t>
        </is>
      </c>
      <c r="G5" t="inlineStr">
        <is>
          <t>2026-06-18</t>
        </is>
      </c>
      <c r="H5" t="inlineStr">
        <is>
          <t>9:30 A.M.</t>
        </is>
      </c>
      <c r="I5" t="inlineStr">
        <is>
          <t>2026-06-18</t>
        </is>
      </c>
      <c r="J5" t="inlineStr">
        <is>
          <t>2026-06-22</t>
        </is>
      </c>
      <c r="K5" t="inlineStr">
        <is>
          <t>2026-07-09</t>
        </is>
      </c>
      <c r="L5" t="inlineStr">
        <is>
          <t>2026-06</t>
        </is>
      </c>
      <c r="M5" t="inlineStr">
        <is>
          <t>189-2025</t>
        </is>
      </c>
      <c r="N5" t="inlineStr">
        <is>
          <t>004-2026</t>
        </is>
      </c>
      <c r="O5" t="inlineStr">
        <is>
          <t>PDF ANALISIS_39915.pdf (informe original)</t>
        </is>
      </c>
      <c r="P5" s="5" t="inlineStr">
        <is>
          <t>Informe marca "SUPERFICIAL" aunque la procedencia es un pozo.</t>
        </is>
      </c>
    </row>
    <row r="6">
      <c r="A6" t="inlineStr">
        <is>
          <t>39916</t>
        </is>
      </c>
      <c r="B6" t="inlineStr">
        <is>
          <t>UN-LE-026</t>
        </is>
      </c>
      <c r="C6" t="inlineStr">
        <is>
          <t>Agua cruda, superficial, pozo, residencia profesor</t>
        </is>
      </c>
      <c r="D6" t="inlineStr">
        <is>
          <t>POZO_PROFE</t>
        </is>
      </c>
      <c r="E6" t="inlineStr">
        <is>
          <t>subterránea (pozo)</t>
        </is>
      </c>
      <c r="F6" t="inlineStr">
        <is>
          <t>SUPERFICIAL</t>
        </is>
      </c>
      <c r="G6" t="inlineStr">
        <is>
          <t>2026-06-18</t>
        </is>
      </c>
      <c r="H6" t="inlineStr">
        <is>
          <t>10:26 A.M.</t>
        </is>
      </c>
      <c r="I6" t="inlineStr">
        <is>
          <t>2026-06-18</t>
        </is>
      </c>
      <c r="J6" t="inlineStr">
        <is>
          <t>2026-06-22</t>
        </is>
      </c>
      <c r="K6" t="inlineStr">
        <is>
          <t>2026-07-09</t>
        </is>
      </c>
      <c r="L6" t="inlineStr">
        <is>
          <t>2026-06</t>
        </is>
      </c>
      <c r="M6" t="inlineStr">
        <is>
          <t>189-2025</t>
        </is>
      </c>
      <c r="N6" t="inlineStr">
        <is>
          <t>004-2026</t>
        </is>
      </c>
      <c r="O6" t="inlineStr">
        <is>
          <t>PDF ANALISIS_39916.pdf (informe original)</t>
        </is>
      </c>
      <c r="P6" s="5" t="inlineStr">
        <is>
          <t>Informe marca "SUPERFICIAL" aunque la procedencia es un pozo. Ca y Mg reportados como 0.</t>
        </is>
      </c>
    </row>
    <row r="7">
      <c r="A7" t="inlineStr">
        <is>
          <t>39917</t>
        </is>
      </c>
      <c r="B7" t="inlineStr">
        <is>
          <t>UN-LE-027</t>
        </is>
      </c>
      <c r="C7" t="inlineStr">
        <is>
          <t>Agua cruda, superficial, pozo NUMAE</t>
        </is>
      </c>
      <c r="D7" t="inlineStr">
        <is>
          <t>POZO_NUMAE</t>
        </is>
      </c>
      <c r="E7" t="inlineStr">
        <is>
          <t>subterránea (pozo)</t>
        </is>
      </c>
      <c r="F7" t="inlineStr">
        <is>
          <t>SUPERFICIAL</t>
        </is>
      </c>
      <c r="G7" t="inlineStr">
        <is>
          <t>2026-06-18</t>
        </is>
      </c>
      <c r="H7" t="inlineStr">
        <is>
          <t>11:30 A.M.</t>
        </is>
      </c>
      <c r="I7" t="inlineStr">
        <is>
          <t>2026-06-18</t>
        </is>
      </c>
      <c r="J7" t="inlineStr">
        <is>
          <t>2026-06-22</t>
        </is>
      </c>
      <c r="K7" t="inlineStr">
        <is>
          <t>2026-07-09</t>
        </is>
      </c>
      <c r="L7" t="inlineStr">
        <is>
          <t>2026-06</t>
        </is>
      </c>
      <c r="M7" t="inlineStr">
        <is>
          <t>189-2025</t>
        </is>
      </c>
      <c r="N7" t="inlineStr">
        <is>
          <t>004-2026</t>
        </is>
      </c>
      <c r="O7" t="inlineStr">
        <is>
          <t>PDF ANALISIS_39917.pdf (informe original)</t>
        </is>
      </c>
      <c r="P7" s="5" t="inlineStr">
        <is>
          <t>Informe marca "SUPERFICIAL" aunque la procedencia es un pozo. Coliformes y E. coli "&lt;18": el LD supera el valor aceptable (0).</t>
        </is>
      </c>
    </row>
    <row r="8">
      <c r="A8" t="inlineStr">
        <is>
          <t>40015</t>
        </is>
      </c>
      <c r="B8" t="inlineStr">
        <is>
          <t>UN-LE-025</t>
        </is>
      </c>
      <c r="C8" t="inlineStr">
        <is>
          <t>Agua cruda, superficial, pozo Universidad Nacional Amazonia</t>
        </is>
      </c>
      <c r="D8" t="inlineStr">
        <is>
          <t>POZO_UN</t>
        </is>
      </c>
      <c r="E8" t="inlineStr">
        <is>
          <t>subterránea (pozo)</t>
        </is>
      </c>
      <c r="F8" t="inlineStr">
        <is>
          <t>SUPERFICIAL</t>
        </is>
      </c>
      <c r="G8" t="inlineStr">
        <is>
          <t>2026-06-18</t>
        </is>
      </c>
      <c r="H8" t="inlineStr">
        <is>
          <t>9:30 A.M.</t>
        </is>
      </c>
      <c r="I8" t="inlineStr">
        <is>
          <t>2026-08-20</t>
        </is>
      </c>
      <c r="J8" t="inlineStr">
        <is>
          <t>2026-08-21</t>
        </is>
      </c>
      <c r="K8" t="inlineStr">
        <is>
          <t>2026-09-01</t>
        </is>
      </c>
      <c r="L8" t="inlineStr">
        <is>
          <t>2026-08</t>
        </is>
      </c>
      <c r="M8" t="inlineStr">
        <is>
          <t>189-2025</t>
        </is>
      </c>
      <c r="N8" t="inlineStr">
        <is>
          <t>004-2026</t>
        </is>
      </c>
      <c r="O8" t="inlineStr">
        <is>
          <t>PDF ANALISIS_40015.pdf (informe original)</t>
        </is>
      </c>
      <c r="P8" s="5" t="inlineStr">
        <is>
          <t>Mismo punto (UN-LE-025), fecha y hora de muestreo que 39915, pero registrado el 2026-08-21: encabezado probablemente copiado. Se asume muestreo 2026-08-20.</t>
        </is>
      </c>
    </row>
    <row r="9">
      <c r="A9" t="inlineStr">
        <is>
          <t>40016</t>
        </is>
      </c>
      <c r="B9" t="inlineStr">
        <is>
          <t>UN-LE-036</t>
        </is>
      </c>
      <c r="C9" t="inlineStr">
        <is>
          <t>Agua cruda, subterránea, pozo casa profe, Universidad Nacional Amazonia</t>
        </is>
      </c>
      <c r="D9" t="inlineStr">
        <is>
          <t>POZO_PROFE</t>
        </is>
      </c>
      <c r="E9" t="inlineStr">
        <is>
          <t>subterránea (pozo)</t>
        </is>
      </c>
      <c r="F9" t="inlineStr">
        <is>
          <t>SUBTERRÁNEA</t>
        </is>
      </c>
      <c r="G9" t="inlineStr">
        <is>
          <t>2026-08-20</t>
        </is>
      </c>
      <c r="H9" t="inlineStr">
        <is>
          <t>11:00 A.M.</t>
        </is>
      </c>
      <c r="I9" t="inlineStr">
        <is>
          <t>2026-08-20</t>
        </is>
      </c>
      <c r="J9" t="inlineStr">
        <is>
          <t>2026-08-21</t>
        </is>
      </c>
      <c r="K9" t="inlineStr">
        <is>
          <t>2026-09-01</t>
        </is>
      </c>
      <c r="L9" t="inlineStr">
        <is>
          <t>2026-08</t>
        </is>
      </c>
      <c r="M9" t="inlineStr">
        <is>
          <t>189-2025</t>
        </is>
      </c>
      <c r="N9" t="inlineStr">
        <is>
          <t>004-2026</t>
        </is>
      </c>
      <c r="O9" t="inlineStr">
        <is>
          <t>PDF ANALISIS_40016.pdf (informe original)</t>
        </is>
      </c>
      <c r="P9" s="5" t="inlineStr">
        <is>
          <t>Nuevo código UN-LE-036; por el nombre ("casa profe") se agrupa con UN-LE-026.</t>
        </is>
      </c>
    </row>
    <row r="10">
      <c r="A10" t="inlineStr">
        <is>
          <t>40017</t>
        </is>
      </c>
      <c r="B10" t="inlineStr">
        <is>
          <t>UN-LE-037</t>
        </is>
      </c>
      <c r="C10" t="inlineStr">
        <is>
          <t>Agua cruda, subterránea, pozo, Universidad Nacional Amazonia</t>
        </is>
      </c>
      <c r="D10" t="inlineStr">
        <is>
          <t>POZO_NUMAE</t>
        </is>
      </c>
      <c r="E10" t="inlineStr">
        <is>
          <t>subterránea (pozo)</t>
        </is>
      </c>
      <c r="F10" t="inlineStr">
        <is>
          <t>SUBTERRÁNEA</t>
        </is>
      </c>
      <c r="G10" t="inlineStr">
        <is>
          <t>2026-08-20</t>
        </is>
      </c>
      <c r="H10" t="inlineStr">
        <is>
          <t>NO REPORTA</t>
        </is>
      </c>
      <c r="I10" t="inlineStr">
        <is>
          <t>2026-08-20</t>
        </is>
      </c>
      <c r="J10" t="inlineStr">
        <is>
          <t>2026-08-21</t>
        </is>
      </c>
      <c r="K10" t="inlineStr">
        <is>
          <t>2026-09-01</t>
        </is>
      </c>
      <c r="L10" t="inlineStr">
        <is>
          <t>2026-08</t>
        </is>
      </c>
      <c r="M10" t="inlineStr">
        <is>
          <t>189-2025</t>
        </is>
      </c>
      <c r="N10" t="inlineStr">
        <is>
          <t>004-2026</t>
        </is>
      </c>
      <c r="O10" t="inlineStr">
        <is>
          <t>PDF ANALISIS_40017.pdf (informe original)</t>
        </is>
      </c>
      <c r="P10" s="5" t="inlineStr">
        <is>
          <t>Nuevo código UN-LE-037; hora "NO REPORTA". Por Cl-, NO3 y CE se parece a NUMAE (UN-LE-027); la hoja del semillero lo rotula "UNAL". Confirmar.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90" customWidth="1" min="3" max="3"/>
    <col width="30" customWidth="1" min="4" max="4"/>
  </cols>
  <sheetData>
    <row r="1">
      <c r="A1" s="4" t="inlineStr">
        <is>
          <t>columna</t>
        </is>
      </c>
      <c r="B1" s="4" t="inlineStr">
        <is>
          <t>tipo</t>
        </is>
      </c>
      <c r="C1" s="4" t="inlineStr">
        <is>
          <t>descripción</t>
        </is>
      </c>
      <c r="D1" s="4" t="inlineStr">
        <is>
          <t>ejemplo</t>
        </is>
      </c>
    </row>
    <row r="2">
      <c r="A2" t="inlineStr">
        <is>
          <t>sede</t>
        </is>
      </c>
      <c r="B2" t="inlineStr">
        <is>
          <t>texto</t>
        </is>
      </c>
      <c r="C2" t="inlineStr">
        <is>
          <t>Sede UNAL: Arauca, Bogotá, La Paz, Leticia, Medellín, San Andrés, Tumaco</t>
        </is>
      </c>
      <c r="D2" t="inlineStr">
        <is>
          <t>Leticia</t>
        </is>
      </c>
    </row>
    <row r="3">
      <c r="A3" t="inlineStr">
        <is>
          <t>punto</t>
        </is>
      </c>
      <c r="B3" t="inlineStr">
        <is>
          <t>texto</t>
        </is>
      </c>
      <c r="C3" t="inlineStr">
        <is>
          <t>Código del punto de captación del informe (Punto de Captación). Si no existe: SIN-CODIGO (nombre)</t>
        </is>
      </c>
      <c r="D3" t="inlineStr">
        <is>
          <t>UN-LE-025</t>
        </is>
      </c>
    </row>
    <row r="4">
      <c r="A4" t="inlineStr">
        <is>
          <t>nombre_punto</t>
        </is>
      </c>
      <c r="B4" t="inlineStr">
        <is>
          <t>texto</t>
        </is>
      </c>
      <c r="C4" t="inlineStr">
        <is>
          <t>Procedencia tal como la describe el informe</t>
        </is>
      </c>
      <c r="D4" t="inlineStr">
        <is>
          <t>Agua cruda, ... pozo NUMAE</t>
        </is>
      </c>
    </row>
    <row r="5">
      <c r="A5" t="inlineStr">
        <is>
          <t>grupo_punto</t>
        </is>
      </c>
      <c r="B5" t="inlineStr">
        <is>
          <t>texto</t>
        </is>
      </c>
      <c r="C5" t="inlineStr">
        <is>
          <t>Identificador estable del pozo para series de tiempo (asignado por el semillero)</t>
        </is>
      </c>
      <c r="D5" t="inlineStr">
        <is>
          <t>POZO_UN</t>
        </is>
      </c>
    </row>
    <row r="6">
      <c r="A6" t="inlineStr">
        <is>
          <t>tipo_agua</t>
        </is>
      </c>
      <c r="B6" t="inlineStr">
        <is>
          <t>texto</t>
        </is>
      </c>
      <c r="C6" t="inlineStr">
        <is>
          <t>subterránea (pozo) | superficial (río) | lluvia | red</t>
        </is>
      </c>
      <c r="D6" t="inlineStr">
        <is>
          <t>subterránea (pozo)</t>
        </is>
      </c>
    </row>
    <row r="7">
      <c r="A7" t="inlineStr">
        <is>
          <t>fecha</t>
        </is>
      </c>
      <c r="B7" t="inlineStr">
        <is>
          <t>fecha AAAA-MM-DD</t>
        </is>
      </c>
      <c r="C7" t="inlineStr">
        <is>
          <t>Fecha de toma de muestra tal como aparece en el informe</t>
        </is>
      </c>
      <c r="D7" t="inlineStr">
        <is>
          <t>2026-06-18</t>
        </is>
      </c>
    </row>
    <row r="8">
      <c r="A8" t="inlineStr">
        <is>
          <t>fecha_uso</t>
        </is>
      </c>
      <c r="B8" t="inlineStr">
        <is>
          <t>fecha AAAA-MM-DD</t>
        </is>
      </c>
      <c r="C8" t="inlineStr">
        <is>
          <t>Fecha usada en gráficas; difiere de "fecha" solo si se corrigió (ver bandera)</t>
        </is>
      </c>
      <c r="D8" t="inlineStr">
        <is>
          <t>2026-08-20</t>
        </is>
      </c>
    </row>
    <row r="9">
      <c r="A9" t="inlineStr">
        <is>
          <t>campana</t>
        </is>
      </c>
      <c r="B9" t="inlineStr">
        <is>
          <t>AAAA-MM</t>
        </is>
      </c>
      <c r="C9" t="inlineStr">
        <is>
          <t>Campaña de muestreo (mes de registro en el laboratorio)</t>
        </is>
      </c>
      <c r="D9" t="inlineStr">
        <is>
          <t>2026-08</t>
        </is>
      </c>
    </row>
    <row r="10">
      <c r="A10" t="inlineStr">
        <is>
          <t>parametro</t>
        </is>
      </c>
      <c r="B10" t="inlineStr">
        <is>
          <t>código</t>
        </is>
      </c>
      <c r="C10" t="inlineStr">
        <is>
          <t>Código corto del parámetro (ver hoja parametros)</t>
        </is>
      </c>
      <c r="D10" t="inlineStr">
        <is>
          <t>nitratos_n</t>
        </is>
      </c>
    </row>
    <row r="11">
      <c r="A11" t="inlineStr">
        <is>
          <t>parametro_informe</t>
        </is>
      </c>
      <c r="B11" t="inlineStr">
        <is>
          <t>texto</t>
        </is>
      </c>
      <c r="C11" t="inlineStr">
        <is>
          <t>Nombre del parámetro como lo escribe el laboratorio</t>
        </is>
      </c>
      <c r="D11" t="inlineStr">
        <is>
          <t>Nitratos</t>
        </is>
      </c>
    </row>
    <row r="12">
      <c r="A12" t="inlineStr">
        <is>
          <t>valor</t>
        </is>
      </c>
      <c r="B12" t="inlineStr">
        <is>
          <t>número</t>
        </is>
      </c>
      <c r="C12" t="inlineStr">
        <is>
          <t>Valor numérico con punto decimal. Si signo = "&lt;", es el LD</t>
        </is>
      </c>
      <c r="D12" t="inlineStr">
        <is>
          <t>1.3</t>
        </is>
      </c>
    </row>
    <row r="13">
      <c r="A13" t="inlineStr">
        <is>
          <t>signo</t>
        </is>
      </c>
      <c r="B13" t="inlineStr">
        <is>
          <t>"&lt;", "&gt;" o vacío</t>
        </is>
      </c>
      <c r="C13" t="inlineStr">
        <is>
          <t>"&lt;" = menor que el límite de detección o de cuantificación</t>
        </is>
      </c>
      <c r="D13" t="inlineStr">
        <is>
          <t>&lt;</t>
        </is>
      </c>
    </row>
    <row r="14">
      <c r="A14" t="inlineStr">
        <is>
          <t>LD</t>
        </is>
      </c>
      <c r="B14" t="inlineStr">
        <is>
          <t>número</t>
        </is>
      </c>
      <c r="C14" t="inlineStr">
        <is>
          <t>Límite informado cuando el resultado es "&lt;". El informe no da el LD de los valores cuantificados</t>
        </is>
      </c>
      <c r="D14" t="inlineStr">
        <is>
          <t>0.1</t>
        </is>
      </c>
    </row>
    <row r="15">
      <c r="A15" t="inlineStr">
        <is>
          <t>valor_texto</t>
        </is>
      </c>
      <c r="B15" t="inlineStr">
        <is>
          <t>texto</t>
        </is>
      </c>
      <c r="C15" t="inlineStr">
        <is>
          <t>Resultado literal del informe (coma decimal), para auditoría</t>
        </is>
      </c>
      <c r="D15" t="inlineStr">
        <is>
          <t>&lt;0,1</t>
        </is>
      </c>
    </row>
    <row r="16">
      <c r="A16" t="inlineStr">
        <is>
          <t>unidad</t>
        </is>
      </c>
      <c r="B16" t="inlineStr">
        <is>
          <t>texto</t>
        </is>
      </c>
      <c r="C16" t="inlineStr">
        <is>
          <t>Unidad literal del informe</t>
        </is>
      </c>
      <c r="D16" t="inlineStr">
        <is>
          <t>mg/L N-NO3-</t>
        </is>
      </c>
    </row>
    <row r="17">
      <c r="A17" t="inlineStr">
        <is>
          <t>expresado_como</t>
        </is>
      </c>
      <c r="B17" t="inlineStr">
        <is>
          <t>texto</t>
        </is>
      </c>
      <c r="C17" t="inlineStr">
        <is>
          <t>Especie en que se expresa la concentración (N, NO3-, CaCO3...)</t>
        </is>
      </c>
      <c r="D17" t="inlineStr">
        <is>
          <t>N (de NO3-)</t>
        </is>
      </c>
    </row>
    <row r="18">
      <c r="A18" t="inlineStr">
        <is>
          <t>metodo</t>
        </is>
      </c>
      <c r="B18" t="inlineStr">
        <is>
          <t>texto</t>
        </is>
      </c>
      <c r="C18" t="inlineStr">
        <is>
          <t>Método del informe (Standard Methods, SM)</t>
        </is>
      </c>
      <c r="D18" t="inlineStr">
        <is>
          <t>SM 4110 B</t>
        </is>
      </c>
    </row>
    <row r="19">
      <c r="A19" t="inlineStr">
        <is>
          <t>fecha_analisis</t>
        </is>
      </c>
      <c r="B19" t="inlineStr">
        <is>
          <t>fecha</t>
        </is>
      </c>
      <c r="C19" t="inlineStr">
        <is>
          <t>Fecha de análisis de ese parámetro</t>
        </is>
      </c>
      <c r="D19" t="inlineStr">
        <is>
          <t>2026-06-23</t>
        </is>
      </c>
    </row>
    <row r="20">
      <c r="A20" t="inlineStr">
        <is>
          <t>laboratorio</t>
        </is>
      </c>
      <c r="B20" t="inlineStr">
        <is>
          <t>texto</t>
        </is>
      </c>
      <c r="C20" t="inlineStr">
        <is>
          <t>Laboratorio que emitió el informe</t>
        </is>
      </c>
      <c r="D20" t="inlineStr">
        <is>
          <t>LIA UNAL Bogotá</t>
        </is>
      </c>
    </row>
    <row r="21">
      <c r="A21" t="inlineStr">
        <is>
          <t>informe</t>
        </is>
      </c>
      <c r="B21" t="inlineStr">
        <is>
          <t>texto</t>
        </is>
      </c>
      <c r="C21" t="inlineStr">
        <is>
          <t>Número del informe (ANÁLISIS Nº)</t>
        </is>
      </c>
      <c r="D21" t="inlineStr">
        <is>
          <t>39915</t>
        </is>
      </c>
    </row>
    <row r="22">
      <c r="A22" t="inlineStr">
        <is>
          <t>fuente</t>
        </is>
      </c>
      <c r="B22" t="inlineStr">
        <is>
          <t>texto</t>
        </is>
      </c>
      <c r="C22" t="inlineStr">
        <is>
          <t>Archivo de donde se tomó el dato</t>
        </is>
      </c>
      <c r="D22" t="inlineStr">
        <is>
          <t>PDF ANALISIS_39915.pdf</t>
        </is>
      </c>
    </row>
    <row r="23">
      <c r="A23" t="inlineStr">
        <is>
          <t>bandera</t>
        </is>
      </c>
      <c r="B23" t="inlineStr">
        <is>
          <t>texto; códigos separados por ";"</t>
        </is>
      </c>
      <c r="C23" t="inlineStr">
        <is>
          <t>Observaciones de calidad del dato o del metadato</t>
        </is>
      </c>
      <c r="D23" t="inlineStr">
        <is>
          <t>fuente_secundaria_sin_pdf</t>
        </is>
      </c>
    </row>
    <row r="25">
      <c r="A25" t="inlineStr">
        <is>
          <t>Reglas</t>
        </is>
      </c>
      <c r="B25" t="inlineStr"/>
      <c r="C25" t="inlineStr">
        <is>
          <t>Una fila = un resultado. No mezclar unidades en la misma columna de valor sin la columna "unidad". No escribir "&lt;" dentro de "valor". No borrar el valor literal.</t>
        </is>
      </c>
      <c r="D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5" customWidth="1" min="3" max="3"/>
    <col width="18" customWidth="1" min="4" max="4"/>
    <col width="18" customWidth="1" min="5" max="5"/>
    <col width="50" customWidth="1" min="6" max="6"/>
    <col width="12" customWidth="1" min="7" max="7"/>
    <col width="10" customWidth="1" min="8" max="8"/>
    <col width="10" customWidth="1" min="9" max="9"/>
    <col width="14" customWidth="1" min="10" max="10"/>
    <col width="12" customWidth="1" min="11" max="11"/>
    <col width="16" customWidth="1" min="12" max="12"/>
  </cols>
  <sheetData>
    <row r="1">
      <c r="A1" s="4" t="inlineStr">
        <is>
          <t>codigo</t>
        </is>
      </c>
      <c r="B1" s="4" t="inlineStr">
        <is>
          <t>nombre en informe</t>
        </is>
      </c>
      <c r="C1" s="4" t="inlineStr">
        <is>
          <t>unidad informe</t>
        </is>
      </c>
      <c r="D1" s="4" t="inlineStr">
        <is>
          <t>expresado como</t>
        </is>
      </c>
      <c r="E1" s="4" t="inlineStr">
        <is>
          <t>método</t>
        </is>
      </c>
      <c r="F1" s="4" t="inlineStr">
        <is>
          <t>nota</t>
        </is>
      </c>
      <c r="G1" s="4" t="inlineStr">
        <is>
          <t>puntaje IRCA (Cuadro 6)</t>
        </is>
      </c>
      <c r="H1" s="4" t="inlineStr">
        <is>
          <t>mín. aceptable</t>
        </is>
      </c>
      <c r="I1" s="4" t="inlineStr">
        <is>
          <t>máx. aceptable</t>
        </is>
      </c>
      <c r="J1" s="4" t="inlineStr">
        <is>
          <t>unidad del límite</t>
        </is>
      </c>
      <c r="K1" s="4" t="inlineStr">
        <is>
          <t>factor informe→límite</t>
        </is>
      </c>
      <c r="L1" s="4" t="inlineStr">
        <is>
          <t>artículo Res. 2115</t>
        </is>
      </c>
    </row>
    <row r="2">
      <c r="A2" t="inlineStr">
        <is>
          <t>turbiedad</t>
        </is>
      </c>
      <c r="B2" t="inlineStr">
        <is>
          <t>Turbiedad</t>
        </is>
      </c>
      <c r="C2" t="inlineStr">
        <is>
          <t>UNT</t>
        </is>
      </c>
      <c r="D2" t="inlineStr">
        <is>
          <t>UNT</t>
        </is>
      </c>
      <c r="E2" t="inlineStr">
        <is>
          <t>turbiedad nefelométrica</t>
        </is>
      </c>
      <c r="F2" t="inlineStr">
        <is>
          <t>SM 2130 B</t>
        </is>
      </c>
      <c r="G2" t="n">
        <v>15</v>
      </c>
      <c r="I2" t="n">
        <v>2</v>
      </c>
      <c r="J2" t="inlineStr">
        <is>
          <t>UNT</t>
        </is>
      </c>
      <c r="K2" t="n">
        <v>1</v>
      </c>
      <c r="L2" t="inlineStr">
        <is>
          <t>Art. 2, Cuadro 1</t>
        </is>
      </c>
    </row>
    <row r="3">
      <c r="A3" t="inlineStr">
        <is>
          <t>color_aparente</t>
        </is>
      </c>
      <c r="B3" t="inlineStr">
        <is>
          <t>Color Aparente</t>
        </is>
      </c>
      <c r="C3" t="inlineStr">
        <is>
          <t>UPC</t>
        </is>
      </c>
      <c r="D3" t="inlineStr">
        <is>
          <t>UPC</t>
        </is>
      </c>
      <c r="E3" t="inlineStr">
        <is>
          <t>Pt-Co, sin filtrar</t>
        </is>
      </c>
      <c r="F3" t="inlineStr">
        <is>
          <t>SM 2120 B</t>
        </is>
      </c>
      <c r="G3" t="n">
        <v>6</v>
      </c>
      <c r="I3" t="n">
        <v>15</v>
      </c>
      <c r="J3" t="inlineStr">
        <is>
          <t>UPC</t>
        </is>
      </c>
      <c r="K3" t="n">
        <v>1</v>
      </c>
      <c r="L3" t="inlineStr">
        <is>
          <t>Art. 2, Cuadro 1</t>
        </is>
      </c>
    </row>
    <row r="4">
      <c r="A4" t="inlineStr">
        <is>
          <t>ph</t>
        </is>
      </c>
      <c r="B4" t="inlineStr">
        <is>
          <t>pH</t>
        </is>
      </c>
      <c r="C4" t="inlineStr">
        <is>
          <t>Unidades</t>
        </is>
      </c>
      <c r="D4" t="inlineStr">
        <is>
          <t>unidades de pH</t>
        </is>
      </c>
      <c r="E4" t="inlineStr">
        <is>
          <t>pH</t>
        </is>
      </c>
      <c r="F4" t="inlineStr">
        <is>
          <t>SM 4500 H+B</t>
        </is>
      </c>
      <c r="G4" t="n">
        <v>1.5</v>
      </c>
      <c r="H4" t="n">
        <v>6.5</v>
      </c>
      <c r="I4" t="n">
        <v>9</v>
      </c>
      <c r="J4" t="inlineStr">
        <is>
          <t>unidades</t>
        </is>
      </c>
      <c r="K4" t="n">
        <v>1</v>
      </c>
      <c r="L4" t="inlineStr">
        <is>
          <t>Art. 4</t>
        </is>
      </c>
    </row>
    <row r="5">
      <c r="A5" t="inlineStr">
        <is>
          <t>conductividad</t>
        </is>
      </c>
      <c r="B5" t="inlineStr">
        <is>
          <t>Conductividad Específica</t>
        </is>
      </c>
      <c r="C5" t="inlineStr">
        <is>
          <t>µS/cm 25 °C</t>
        </is>
      </c>
      <c r="D5" t="inlineStr">
        <is>
          <t>µS/cm</t>
        </is>
      </c>
      <c r="E5" t="inlineStr">
        <is>
          <t>CE a 25 °C</t>
        </is>
      </c>
      <c r="F5" t="inlineStr">
        <is>
          <t>SM 2510 B</t>
        </is>
      </c>
      <c r="G5" t="inlineStr"/>
      <c r="H5" t="inlineStr"/>
      <c r="I5" t="n">
        <v>1000</v>
      </c>
      <c r="J5" t="inlineStr">
        <is>
          <t>µS/cm</t>
        </is>
      </c>
      <c r="K5" t="inlineStr"/>
      <c r="L5" t="inlineStr">
        <is>
          <t>Art. 3 (1000 µS/cm, no entra al IRCA)</t>
        </is>
      </c>
    </row>
    <row r="6">
      <c r="A6" t="inlineStr">
        <is>
          <t>alcalinidad</t>
        </is>
      </c>
      <c r="B6" t="inlineStr">
        <is>
          <t>Alcalinidad total</t>
        </is>
      </c>
      <c r="C6" t="inlineStr">
        <is>
          <t>mg/L CaCO3</t>
        </is>
      </c>
      <c r="D6" t="inlineStr">
        <is>
          <t>mg/L CaCO3</t>
        </is>
      </c>
      <c r="E6" t="inlineStr">
        <is>
          <t>CaCO3</t>
        </is>
      </c>
      <c r="F6" t="inlineStr">
        <is>
          <t>SM 2320 (Indicador)</t>
        </is>
      </c>
      <c r="G6" t="n">
        <v>1</v>
      </c>
      <c r="I6" t="n">
        <v>200</v>
      </c>
      <c r="J6" t="inlineStr">
        <is>
          <t>mg/L CaCO3</t>
        </is>
      </c>
      <c r="K6" t="n">
        <v>1</v>
      </c>
      <c r="L6" t="inlineStr">
        <is>
          <t>Art. 7, Cuadro 4</t>
        </is>
      </c>
    </row>
    <row r="7">
      <c r="A7" t="inlineStr">
        <is>
          <t>acidez</t>
        </is>
      </c>
      <c r="B7" t="inlineStr">
        <is>
          <t>Acidez total</t>
        </is>
      </c>
      <c r="C7" t="inlineStr">
        <is>
          <t>mg/L CaCO3</t>
        </is>
      </c>
      <c r="D7" t="inlineStr">
        <is>
          <t>mg/L CaCO3</t>
        </is>
      </c>
      <c r="E7" t="inlineStr">
        <is>
          <t>CaCO3</t>
        </is>
      </c>
      <c r="F7" t="inlineStr">
        <is>
          <t>SM 2310 B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dureza_total</t>
        </is>
      </c>
      <c r="B8" t="inlineStr">
        <is>
          <t>Dureza total</t>
        </is>
      </c>
      <c r="C8" t="inlineStr">
        <is>
          <t>mg/L CaCO3</t>
        </is>
      </c>
      <c r="D8" t="inlineStr">
        <is>
          <t>mg/L CaCO3</t>
        </is>
      </c>
      <c r="E8" t="inlineStr">
        <is>
          <t>CaCO3</t>
        </is>
      </c>
      <c r="F8" t="inlineStr">
        <is>
          <t>SM 2340 C</t>
        </is>
      </c>
      <c r="G8" t="n">
        <v>1</v>
      </c>
      <c r="I8" t="n">
        <v>300</v>
      </c>
      <c r="J8" t="inlineStr">
        <is>
          <t>mg/L CaCO3</t>
        </is>
      </c>
      <c r="K8" t="n">
        <v>1</v>
      </c>
      <c r="L8" t="inlineStr">
        <is>
          <t>Art. 7, Cuadro 4</t>
        </is>
      </c>
    </row>
    <row r="9">
      <c r="A9" t="inlineStr">
        <is>
          <t>dureza_calcica</t>
        </is>
      </c>
      <c r="B9" t="inlineStr">
        <is>
          <t>Dureza Cálcica</t>
        </is>
      </c>
      <c r="C9" t="inlineStr">
        <is>
          <t>mg/L CaCO3</t>
        </is>
      </c>
      <c r="D9" t="inlineStr">
        <is>
          <t>mg/L CaCO3</t>
        </is>
      </c>
      <c r="E9" t="inlineStr">
        <is>
          <t>CaCO3</t>
        </is>
      </c>
      <c r="F9" t="inlineStr">
        <is>
          <t>SM 3500-Ca,B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dureza_magnesica</t>
        </is>
      </c>
      <c r="B10" t="inlineStr">
        <is>
          <t>Dureza Magnésica</t>
        </is>
      </c>
      <c r="C10" t="inlineStr">
        <is>
          <t>mg/L CaCO3</t>
        </is>
      </c>
      <c r="D10" t="inlineStr">
        <is>
          <t>mg/L CaCO3</t>
        </is>
      </c>
      <c r="E10" t="inlineStr">
        <is>
          <t>CaCO3</t>
        </is>
      </c>
      <c r="F10" t="inlineStr">
        <is>
          <t>SM 3500-Mg,B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calcio</t>
        </is>
      </c>
      <c r="B11" t="inlineStr">
        <is>
          <t>Calcio por titulación</t>
        </is>
      </c>
      <c r="C11" t="inlineStr">
        <is>
          <t>mg/L Ca</t>
        </is>
      </c>
      <c r="D11" t="inlineStr">
        <is>
          <t>mg/L</t>
        </is>
      </c>
      <c r="E11" t="inlineStr">
        <is>
          <t>Ca</t>
        </is>
      </c>
      <c r="F11" t="inlineStr">
        <is>
          <t>SM 3500-Ca,B</t>
        </is>
      </c>
      <c r="G11" t="n">
        <v>1</v>
      </c>
      <c r="I11" t="n">
        <v>60</v>
      </c>
      <c r="J11" t="inlineStr">
        <is>
          <t>mg/L Ca</t>
        </is>
      </c>
      <c r="K11" t="n">
        <v>1</v>
      </c>
      <c r="L11" t="inlineStr">
        <is>
          <t>Art. 7, Cuadro 4</t>
        </is>
      </c>
    </row>
    <row r="12">
      <c r="A12" t="inlineStr">
        <is>
          <t>magnesio</t>
        </is>
      </c>
      <c r="B12" t="inlineStr">
        <is>
          <t>Magnesio</t>
        </is>
      </c>
      <c r="C12" t="inlineStr">
        <is>
          <t>mg/L Mg</t>
        </is>
      </c>
      <c r="D12" t="inlineStr">
        <is>
          <t>mg/L</t>
        </is>
      </c>
      <c r="E12" t="inlineStr">
        <is>
          <t>Mg</t>
        </is>
      </c>
      <c r="F12" t="inlineStr">
        <is>
          <t>SM 3500-Mg,B</t>
        </is>
      </c>
      <c r="G12" t="n">
        <v>1</v>
      </c>
      <c r="I12" t="n">
        <v>36</v>
      </c>
      <c r="J12" t="inlineStr">
        <is>
          <t>mg/L Mg</t>
        </is>
      </c>
      <c r="K12" t="n">
        <v>1</v>
      </c>
      <c r="L12" t="inlineStr">
        <is>
          <t>Art. 7, Cuadro 4</t>
        </is>
      </c>
    </row>
    <row r="13">
      <c r="A13" t="inlineStr">
        <is>
          <t>hierro</t>
        </is>
      </c>
      <c r="B13" t="inlineStr">
        <is>
          <t>Hierro</t>
        </is>
      </c>
      <c r="C13" t="inlineStr">
        <is>
          <t>mg/L Fe +3</t>
        </is>
      </c>
      <c r="D13" t="inlineStr">
        <is>
          <t>mg/L</t>
        </is>
      </c>
      <c r="E13" t="inlineStr">
        <is>
          <t>Fe total</t>
        </is>
      </c>
      <c r="F13" t="inlineStr">
        <is>
          <t>SM 3111 B</t>
        </is>
      </c>
      <c r="G13" t="n">
        <v>1.5</v>
      </c>
      <c r="I13" t="n">
        <v>0.3</v>
      </c>
      <c r="J13" t="inlineStr">
        <is>
          <t>mg/L Fe</t>
        </is>
      </c>
      <c r="K13" t="n">
        <v>1</v>
      </c>
      <c r="L13" t="inlineStr">
        <is>
          <t>Art. 7, Cuadro 4</t>
        </is>
      </c>
    </row>
    <row r="14">
      <c r="A14" t="inlineStr">
        <is>
          <t>manganeso</t>
        </is>
      </c>
      <c r="B14" t="inlineStr">
        <is>
          <t>Manganeso</t>
        </is>
      </c>
      <c r="C14" t="inlineStr">
        <is>
          <t>mg/L Mn +7</t>
        </is>
      </c>
      <c r="D14" t="inlineStr">
        <is>
          <t>mg/L</t>
        </is>
      </c>
      <c r="E14" t="inlineStr">
        <is>
          <t>Mn total</t>
        </is>
      </c>
      <c r="F14" t="inlineStr">
        <is>
          <t>SM 3111 B</t>
        </is>
      </c>
      <c r="G14" t="n">
        <v>1</v>
      </c>
      <c r="I14" t="n">
        <v>0.1</v>
      </c>
      <c r="J14" t="inlineStr">
        <is>
          <t>mg/L Mn</t>
        </is>
      </c>
      <c r="K14" t="n">
        <v>1</v>
      </c>
      <c r="L14" t="inlineStr">
        <is>
          <t>Art. 7, Cuadro 4</t>
        </is>
      </c>
    </row>
    <row r="15">
      <c r="A15" t="inlineStr">
        <is>
          <t>cot</t>
        </is>
      </c>
      <c r="B15" t="inlineStr">
        <is>
          <t>Carbono Orgánico Total</t>
        </is>
      </c>
      <c r="C15" t="inlineStr">
        <is>
          <t>mg/L C</t>
        </is>
      </c>
      <c r="D15" t="inlineStr">
        <is>
          <t>mg/L</t>
        </is>
      </c>
      <c r="E15" t="inlineStr">
        <is>
          <t>C</t>
        </is>
      </c>
      <c r="F15" t="inlineStr">
        <is>
          <t>SM 5310 B</t>
        </is>
      </c>
      <c r="G15" t="n">
        <v>3</v>
      </c>
      <c r="I15" t="n">
        <v>5</v>
      </c>
      <c r="J15" t="inlineStr">
        <is>
          <t>mg/L C</t>
        </is>
      </c>
      <c r="K15" t="n">
        <v>1</v>
      </c>
      <c r="L15" t="inlineStr">
        <is>
          <t>Art. 6, Cuadro 3</t>
        </is>
      </c>
    </row>
    <row r="16">
      <c r="A16" t="inlineStr">
        <is>
          <t>zinc</t>
        </is>
      </c>
      <c r="B16" t="inlineStr">
        <is>
          <t>Zinc</t>
        </is>
      </c>
      <c r="C16" t="inlineStr">
        <is>
          <t>mg/L Zn</t>
        </is>
      </c>
      <c r="D16" t="inlineStr">
        <is>
          <t>mg/L</t>
        </is>
      </c>
      <c r="E16" t="inlineStr">
        <is>
          <t>Zn</t>
        </is>
      </c>
      <c r="F16" t="inlineStr">
        <is>
          <t>SM 3111 B</t>
        </is>
      </c>
      <c r="G16" t="n">
        <v>1</v>
      </c>
      <c r="I16" t="n">
        <v>3</v>
      </c>
      <c r="J16" t="inlineStr">
        <is>
          <t>mg/L Zn</t>
        </is>
      </c>
      <c r="K16" t="n">
        <v>1</v>
      </c>
      <c r="L16" t="inlineStr">
        <is>
          <t>Art. 7, Cuadro 4</t>
        </is>
      </c>
    </row>
    <row r="17">
      <c r="A17" t="inlineStr">
        <is>
          <t>fluoruros</t>
        </is>
      </c>
      <c r="B17" t="inlineStr">
        <is>
          <t>Fluoruros</t>
        </is>
      </c>
      <c r="C17" t="inlineStr">
        <is>
          <t>mg/L F-</t>
        </is>
      </c>
      <c r="D17" t="inlineStr">
        <is>
          <t>mg/L</t>
        </is>
      </c>
      <c r="E17" t="inlineStr">
        <is>
          <t>F-</t>
        </is>
      </c>
      <c r="F17" t="inlineStr">
        <is>
          <t>SM 4110 B</t>
        </is>
      </c>
      <c r="G17" t="n">
        <v>1</v>
      </c>
      <c r="I17" t="n">
        <v>1</v>
      </c>
      <c r="J17" t="inlineStr">
        <is>
          <t>mg/L F</t>
        </is>
      </c>
      <c r="K17" t="n">
        <v>1</v>
      </c>
      <c r="L17" t="inlineStr">
        <is>
          <t>Art. 6, Cuadro 3</t>
        </is>
      </c>
    </row>
    <row r="18">
      <c r="A18" t="inlineStr">
        <is>
          <t>nitritos_n</t>
        </is>
      </c>
      <c r="B18" t="inlineStr">
        <is>
          <t>Nitritos</t>
        </is>
      </c>
      <c r="C18" t="inlineStr">
        <is>
          <t>mg/L N-NO2-</t>
        </is>
      </c>
      <c r="D18" t="inlineStr">
        <is>
          <t>mg/L</t>
        </is>
      </c>
      <c r="E18" t="inlineStr">
        <is>
          <t>N (de NO2-)</t>
        </is>
      </c>
      <c r="F18" t="inlineStr">
        <is>
          <t>SM 4110 B</t>
        </is>
      </c>
      <c r="G18" t="n">
        <v>3</v>
      </c>
      <c r="I18" t="n">
        <v>0.1</v>
      </c>
      <c r="J18" t="inlineStr">
        <is>
          <t>mg/L NO2</t>
        </is>
      </c>
      <c r="K18" t="n">
        <v>3.2844</v>
      </c>
      <c r="L18" t="inlineStr">
        <is>
          <t>Art. 6, Cuadro 3</t>
        </is>
      </c>
    </row>
    <row r="19">
      <c r="A19" t="inlineStr">
        <is>
          <t>nitratos_n</t>
        </is>
      </c>
      <c r="B19" t="inlineStr">
        <is>
          <t>Nitratos</t>
        </is>
      </c>
      <c r="C19" t="inlineStr">
        <is>
          <t>mg/L N-NO3-</t>
        </is>
      </c>
      <c r="D19" t="inlineStr">
        <is>
          <t>mg/L</t>
        </is>
      </c>
      <c r="E19" t="inlineStr">
        <is>
          <t>N (de NO3-)</t>
        </is>
      </c>
      <c r="F19" t="inlineStr">
        <is>
          <t>SM 4110 B</t>
        </is>
      </c>
      <c r="G19" t="n">
        <v>1</v>
      </c>
      <c r="I19" t="n">
        <v>10</v>
      </c>
      <c r="J19" t="inlineStr">
        <is>
          <t>mg/L NO3</t>
        </is>
      </c>
      <c r="K19" t="n">
        <v>4.4266</v>
      </c>
      <c r="L19" t="inlineStr">
        <is>
          <t>Art. 6, Cuadro 3</t>
        </is>
      </c>
    </row>
    <row r="20">
      <c r="A20" t="inlineStr">
        <is>
          <t>cloruros</t>
        </is>
      </c>
      <c r="B20" t="inlineStr">
        <is>
          <t>Cloruros</t>
        </is>
      </c>
      <c r="C20" t="inlineStr">
        <is>
          <t>mg/L Cl-</t>
        </is>
      </c>
      <c r="D20" t="inlineStr">
        <is>
          <t>mg/L</t>
        </is>
      </c>
      <c r="E20" t="inlineStr">
        <is>
          <t>Cl-</t>
        </is>
      </c>
      <c r="F20" t="inlineStr">
        <is>
          <t>SM 4110 B</t>
        </is>
      </c>
      <c r="G20" t="n">
        <v>1</v>
      </c>
      <c r="I20" t="n">
        <v>250</v>
      </c>
      <c r="J20" t="inlineStr">
        <is>
          <t>mg/L Cl</t>
        </is>
      </c>
      <c r="K20" t="n">
        <v>1</v>
      </c>
      <c r="L20" t="inlineStr">
        <is>
          <t>Art. 7, Cuadro 4</t>
        </is>
      </c>
    </row>
    <row r="21">
      <c r="A21" t="inlineStr">
        <is>
          <t>sulfatos</t>
        </is>
      </c>
      <c r="B21" t="inlineStr">
        <is>
          <t>Sulfatos</t>
        </is>
      </c>
      <c r="C21" t="inlineStr">
        <is>
          <t>mg/L SO4=</t>
        </is>
      </c>
      <c r="D21" t="inlineStr">
        <is>
          <t>mg/L</t>
        </is>
      </c>
      <c r="E21" t="inlineStr">
        <is>
          <t>SO4 2-</t>
        </is>
      </c>
      <c r="F21" t="inlineStr">
        <is>
          <t>SM 4110 B</t>
        </is>
      </c>
      <c r="G21" t="n">
        <v>1</v>
      </c>
      <c r="I21" t="n">
        <v>250</v>
      </c>
      <c r="J21" t="inlineStr">
        <is>
          <t>mg/L SO4</t>
        </is>
      </c>
      <c r="K21" t="n">
        <v>1</v>
      </c>
      <c r="L21" t="inlineStr">
        <is>
          <t>Art. 7, Cuadro 4</t>
        </is>
      </c>
    </row>
    <row r="22">
      <c r="A22" t="inlineStr">
        <is>
          <t>ortofosfatos</t>
        </is>
      </c>
      <c r="B22" t="inlineStr">
        <is>
          <t>Ortofosfatos</t>
        </is>
      </c>
      <c r="C22" t="inlineStr">
        <is>
          <t>mg/L PO4-3</t>
        </is>
      </c>
      <c r="D22" t="inlineStr">
        <is>
          <t>mg/L</t>
        </is>
      </c>
      <c r="E22" t="inlineStr">
        <is>
          <t>PO4 3-</t>
        </is>
      </c>
      <c r="F22" t="inlineStr">
        <is>
          <t>SM 4110 B</t>
        </is>
      </c>
      <c r="G22" t="n">
        <v>1</v>
      </c>
      <c r="I22" t="n">
        <v>0.5</v>
      </c>
      <c r="J22" t="inlineStr">
        <is>
          <t>mg/L PO4</t>
        </is>
      </c>
      <c r="K22" t="n">
        <v>1</v>
      </c>
      <c r="L22" t="inlineStr">
        <is>
          <t>Art. 7, Cuadro 4</t>
        </is>
      </c>
    </row>
    <row r="23">
      <c r="A23" t="inlineStr">
        <is>
          <t>solidos_totales</t>
        </is>
      </c>
      <c r="B23" t="inlineStr">
        <is>
          <t>Sólidos Totales</t>
        </is>
      </c>
      <c r="C23" t="inlineStr">
        <is>
          <t>mg/L</t>
        </is>
      </c>
      <c r="D23" t="inlineStr">
        <is>
          <t>mg/L</t>
        </is>
      </c>
      <c r="E23" t="inlineStr">
        <is>
          <t>residuo a 103–105 °C</t>
        </is>
      </c>
      <c r="F23" t="inlineStr">
        <is>
          <t>SM 2540 B</t>
        </is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sst</t>
        </is>
      </c>
      <c r="B24" t="inlineStr">
        <is>
          <t>Sólidos Suspendidos Totales</t>
        </is>
      </c>
      <c r="C24" t="inlineStr">
        <is>
          <t>mg/L</t>
        </is>
      </c>
      <c r="D24" t="inlineStr">
        <is>
          <t>mg/L</t>
        </is>
      </c>
      <c r="E24" t="inlineStr">
        <is>
          <t>retenidos en filtro</t>
        </is>
      </c>
      <c r="F24" t="inlineStr">
        <is>
          <t>SM 2540 D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coliformes_totales</t>
        </is>
      </c>
      <c r="B25" t="inlineStr">
        <is>
          <t>Coliformes totales</t>
        </is>
      </c>
      <c r="C25" t="inlineStr">
        <is>
          <t>NMP/100 mL</t>
        </is>
      </c>
      <c r="D25" t="inlineStr">
        <is>
          <t>NMP/100 mL</t>
        </is>
      </c>
      <c r="E25" t="inlineStr">
        <is>
          <t>NMP</t>
        </is>
      </c>
      <c r="F25" t="inlineStr">
        <is>
          <t>SM 9221 C</t>
        </is>
      </c>
      <c r="G25" t="n">
        <v>15</v>
      </c>
      <c r="I25" t="n">
        <v>0</v>
      </c>
      <c r="J25" t="inlineStr">
        <is>
          <t>por 100 mL</t>
        </is>
      </c>
      <c r="K25" t="n">
        <v>1</v>
      </c>
      <c r="L25" t="inlineStr">
        <is>
          <t>Art. 11, Cuadro 5</t>
        </is>
      </c>
    </row>
    <row r="26">
      <c r="A26" t="inlineStr">
        <is>
          <t>e_coli</t>
        </is>
      </c>
      <c r="B26" t="inlineStr">
        <is>
          <t>E. coli</t>
        </is>
      </c>
      <c r="C26" t="inlineStr">
        <is>
          <t>NMP/100 mL</t>
        </is>
      </c>
      <c r="D26" t="inlineStr">
        <is>
          <t>NMP/100 mL</t>
        </is>
      </c>
      <c r="E26" t="inlineStr">
        <is>
          <t>NMP</t>
        </is>
      </c>
      <c r="F26" t="inlineStr">
        <is>
          <t>SM 9221 C</t>
        </is>
      </c>
      <c r="G26" t="n">
        <v>25</v>
      </c>
      <c r="I26" t="n">
        <v>0</v>
      </c>
      <c r="J26" t="inlineStr">
        <is>
          <t>por 100 mL</t>
        </is>
      </c>
      <c r="K26" t="n">
        <v>1</v>
      </c>
      <c r="L26" t="inlineStr">
        <is>
          <t>Art. 11, Cuadro 5</t>
        </is>
      </c>
    </row>
    <row r="27">
      <c r="A27" t="inlineStr">
        <is>
          <t>cloro_libre</t>
        </is>
      </c>
      <c r="B27" t="inlineStr">
        <is>
          <t>Cloro residual libre (no analizado en estos informes)</t>
        </is>
      </c>
      <c r="C27" t="inlineStr"/>
      <c r="D27" t="inlineStr"/>
      <c r="E27" t="inlineStr"/>
      <c r="F27" t="inlineStr"/>
      <c r="G27" t="n">
        <v>15</v>
      </c>
      <c r="H27" t="n">
        <v>0.3</v>
      </c>
      <c r="I27" t="n">
        <v>2</v>
      </c>
      <c r="J27" t="inlineStr">
        <is>
          <t>mg/L Cl2</t>
        </is>
      </c>
      <c r="K27" t="n">
        <v>1</v>
      </c>
      <c r="L27" t="inlineStr">
        <is>
          <t>Art. 9 / Cuadro 4</t>
        </is>
      </c>
    </row>
    <row r="28">
      <c r="A28" t="inlineStr">
        <is>
          <t>molibdeno</t>
        </is>
      </c>
      <c r="B28" t="inlineStr">
        <is>
          <t>Molibdeno (no analizado en estos informes)</t>
        </is>
      </c>
      <c r="C28" t="inlineStr"/>
      <c r="D28" t="inlineStr"/>
      <c r="E28" t="inlineStr"/>
      <c r="F28" t="inlineStr"/>
      <c r="G28" t="n">
        <v>1</v>
      </c>
      <c r="I28" t="n">
        <v>0.07000000000000001</v>
      </c>
      <c r="J28" t="inlineStr">
        <is>
          <t>mg/L Mo</t>
        </is>
      </c>
      <c r="K28" t="n">
        <v>1</v>
      </c>
      <c r="L28" t="inlineStr">
        <is>
          <t>Art. 9 / Cuadro 4</t>
        </is>
      </c>
    </row>
    <row r="29">
      <c r="A29" t="inlineStr">
        <is>
          <t>aluminio</t>
        </is>
      </c>
      <c r="B29" t="inlineStr">
        <is>
          <t>Aluminio (Al3+) (no analizado en estos informes)</t>
        </is>
      </c>
      <c r="C29" t="inlineStr"/>
      <c r="D29" t="inlineStr"/>
      <c r="E29" t="inlineStr"/>
      <c r="F29" t="inlineStr"/>
      <c r="G29" t="n">
        <v>3</v>
      </c>
      <c r="I29" t="n">
        <v>0.2</v>
      </c>
      <c r="J29" t="inlineStr">
        <is>
          <t>mg/L Al</t>
        </is>
      </c>
      <c r="K29" t="n">
        <v>1</v>
      </c>
      <c r="L29" t="inlineStr">
        <is>
          <t>Art. 9 / Cuadro 4</t>
        </is>
      </c>
    </row>
    <row r="31">
      <c r="A31" t="inlineStr"/>
      <c r="B31" t="inlineStr">
        <is>
          <t>Suma de puntajes del Cuadro 6 = 100. Fuente: Resolución 2115 de 2007, MPS–MAVDT, arts. 2–7, 11, 13–15.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4" t="inlineStr">
        <is>
          <t>parametro</t>
        </is>
      </c>
      <c r="B1" s="4" t="inlineStr">
        <is>
          <t>39741</t>
        </is>
      </c>
      <c r="C1" s="4" t="inlineStr">
        <is>
          <t>39742</t>
        </is>
      </c>
      <c r="D1" s="4" t="inlineStr">
        <is>
          <t>39743</t>
        </is>
      </c>
      <c r="E1" s="4" t="inlineStr">
        <is>
          <t>39915</t>
        </is>
      </c>
      <c r="F1" s="4" t="inlineStr">
        <is>
          <t>39916</t>
        </is>
      </c>
      <c r="G1" s="4" t="inlineStr">
        <is>
          <t>39917</t>
        </is>
      </c>
      <c r="H1" s="4" t="inlineStr">
        <is>
          <t>40015</t>
        </is>
      </c>
      <c r="I1" s="4" t="inlineStr">
        <is>
          <t>40016</t>
        </is>
      </c>
      <c r="J1" s="4" t="inlineStr">
        <is>
          <t>40017</t>
        </is>
      </c>
    </row>
    <row r="2">
      <c r="A2" t="inlineStr">
        <is>
          <t>turbiedad</t>
        </is>
      </c>
      <c r="B2" t="n">
        <v>1.74</v>
      </c>
      <c r="C2" t="n">
        <v>512</v>
      </c>
      <c r="D2" t="n">
        <v>0.96</v>
      </c>
      <c r="E2" t="n">
        <v>4.92</v>
      </c>
      <c r="F2" t="n">
        <v>0.73</v>
      </c>
      <c r="G2" t="n">
        <v>0.6899999999999999</v>
      </c>
      <c r="H2" t="n">
        <v>0.48</v>
      </c>
      <c r="I2" t="n">
        <v>0.77</v>
      </c>
      <c r="J2" t="n">
        <v>9.279999999999999</v>
      </c>
    </row>
    <row r="3">
      <c r="A3" t="inlineStr">
        <is>
          <t>color_aparente</t>
        </is>
      </c>
      <c r="B3" t="n">
        <v>10</v>
      </c>
      <c r="C3" t="n">
        <v>100</v>
      </c>
      <c r="D3" t="n">
        <v>9</v>
      </c>
      <c r="E3" t="n">
        <v>9</v>
      </c>
      <c r="F3" t="n">
        <v>7</v>
      </c>
      <c r="G3" t="n">
        <v>7</v>
      </c>
      <c r="H3" t="n">
        <v>7</v>
      </c>
      <c r="I3" t="n">
        <v>8</v>
      </c>
      <c r="J3" t="n">
        <v>8</v>
      </c>
    </row>
    <row r="4">
      <c r="A4" t="inlineStr">
        <is>
          <t>ph</t>
        </is>
      </c>
      <c r="B4" t="n">
        <v>6.15</v>
      </c>
      <c r="C4" t="n">
        <v>7.84</v>
      </c>
      <c r="D4" t="n">
        <v>5.35</v>
      </c>
      <c r="E4" t="n">
        <v>6.17</v>
      </c>
      <c r="F4" t="n">
        <v>6.32</v>
      </c>
      <c r="G4" t="n">
        <v>5.31</v>
      </c>
      <c r="H4" t="n">
        <v>5.45</v>
      </c>
      <c r="I4" t="n">
        <v>5.47</v>
      </c>
      <c r="J4" t="n">
        <v>5.5</v>
      </c>
    </row>
    <row r="5">
      <c r="A5" t="inlineStr">
        <is>
          <t>conductividad</t>
        </is>
      </c>
      <c r="B5" t="n">
        <v>39.4</v>
      </c>
      <c r="C5" t="n">
        <v>168.9</v>
      </c>
      <c r="D5" t="n">
        <v>69</v>
      </c>
      <c r="E5" t="n">
        <v>38.2</v>
      </c>
      <c r="F5" t="n">
        <v>12.5</v>
      </c>
      <c r="G5" t="n">
        <v>69.3</v>
      </c>
      <c r="H5" t="n">
        <v>38.6</v>
      </c>
      <c r="I5" t="n">
        <v>15.9</v>
      </c>
      <c r="J5" t="n">
        <v>60.7</v>
      </c>
    </row>
    <row r="6">
      <c r="A6" t="inlineStr">
        <is>
          <t>alcalinidad</t>
        </is>
      </c>
      <c r="B6" t="n">
        <v>18</v>
      </c>
      <c r="C6" t="n">
        <v>73</v>
      </c>
      <c r="D6" t="n">
        <v>6</v>
      </c>
      <c r="E6" t="n">
        <v>20</v>
      </c>
      <c r="F6" t="n">
        <v>6</v>
      </c>
      <c r="G6" t="n">
        <v>5</v>
      </c>
      <c r="H6" t="n">
        <v>22</v>
      </c>
      <c r="I6" t="n">
        <v>10</v>
      </c>
      <c r="J6" t="n">
        <v>6</v>
      </c>
    </row>
    <row r="7">
      <c r="A7" t="inlineStr">
        <is>
          <t>acidez</t>
        </is>
      </c>
      <c r="B7" t="n">
        <v>6</v>
      </c>
      <c r="C7" t="n">
        <v>5</v>
      </c>
      <c r="D7" t="n">
        <v>16</v>
      </c>
      <c r="E7" t="n">
        <v>22</v>
      </c>
      <c r="F7" t="n">
        <v>5</v>
      </c>
      <c r="G7" t="n">
        <v>44</v>
      </c>
      <c r="H7" t="n">
        <v>36</v>
      </c>
      <c r="I7" t="n">
        <v>33</v>
      </c>
      <c r="J7" t="n">
        <v>28</v>
      </c>
    </row>
    <row r="8">
      <c r="A8" t="inlineStr">
        <is>
          <t>dureza_total</t>
        </is>
      </c>
      <c r="B8" t="n">
        <v>10</v>
      </c>
      <c r="C8" t="n">
        <v>80</v>
      </c>
      <c r="D8" t="n">
        <v>7</v>
      </c>
      <c r="E8" t="n">
        <v>10</v>
      </c>
      <c r="F8" t="n">
        <v>5</v>
      </c>
      <c r="G8" t="n">
        <v>7</v>
      </c>
      <c r="H8" t="n">
        <v>14</v>
      </c>
      <c r="I8" t="n">
        <v>9</v>
      </c>
      <c r="J8" t="n">
        <v>10</v>
      </c>
    </row>
    <row r="9">
      <c r="A9" t="inlineStr">
        <is>
          <t>dureza_calcica</t>
        </is>
      </c>
      <c r="B9" t="n">
        <v>5</v>
      </c>
      <c r="C9" t="n">
        <v>60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</row>
    <row r="10">
      <c r="A10" t="inlineStr">
        <is>
          <t>dureza_magnesica</t>
        </is>
      </c>
      <c r="B10" t="n">
        <v>8</v>
      </c>
      <c r="C10" t="n">
        <v>20</v>
      </c>
      <c r="D10" t="n">
        <v>7</v>
      </c>
      <c r="E10" t="n">
        <v>7</v>
      </c>
      <c r="F10" t="n">
        <v>2</v>
      </c>
      <c r="G10" t="n">
        <v>7</v>
      </c>
      <c r="H10" t="n">
        <v>9</v>
      </c>
      <c r="I10" t="n">
        <v>6</v>
      </c>
      <c r="J10" t="n">
        <v>8</v>
      </c>
    </row>
    <row r="11">
      <c r="A11" t="inlineStr">
        <is>
          <t>calcio</t>
        </is>
      </c>
      <c r="B11" t="n">
        <v>1</v>
      </c>
      <c r="C11" t="n">
        <v>24</v>
      </c>
      <c r="D11" t="n">
        <v>0</v>
      </c>
      <c r="E11" t="n">
        <v>1</v>
      </c>
      <c r="F11" t="n">
        <v>0</v>
      </c>
      <c r="G11" t="n">
        <v>0</v>
      </c>
      <c r="H11" t="n">
        <v>2</v>
      </c>
      <c r="I11" t="n">
        <v>1</v>
      </c>
      <c r="J11" t="n">
        <v>1</v>
      </c>
    </row>
    <row r="12">
      <c r="A12" t="inlineStr">
        <is>
          <t>magnesio</t>
        </is>
      </c>
      <c r="B12" t="n">
        <v>2</v>
      </c>
      <c r="C12" t="n">
        <v>5</v>
      </c>
      <c r="D12" t="n">
        <v>2</v>
      </c>
      <c r="E12" t="n">
        <v>2</v>
      </c>
      <c r="F12" t="n">
        <v>0</v>
      </c>
      <c r="G12" t="n">
        <v>2</v>
      </c>
      <c r="H12" t="n">
        <v>2</v>
      </c>
      <c r="I12" t="n">
        <v>1</v>
      </c>
      <c r="J12" t="n">
        <v>2</v>
      </c>
    </row>
    <row r="13">
      <c r="A13" t="inlineStr">
        <is>
          <t>hierro</t>
        </is>
      </c>
      <c r="B13" t="n">
        <v>0.1</v>
      </c>
      <c r="C13" t="n">
        <v>4.6</v>
      </c>
      <c r="D13" t="n">
        <v>0.1</v>
      </c>
      <c r="E13" t="n">
        <v>0.1</v>
      </c>
      <c r="F13" t="n">
        <v>0.1</v>
      </c>
      <c r="G13" t="n">
        <v>0.05</v>
      </c>
      <c r="H13" t="n">
        <v>0.1</v>
      </c>
      <c r="I13" t="n">
        <v>0.1</v>
      </c>
      <c r="J13" t="n">
        <v>0.1</v>
      </c>
    </row>
    <row r="14">
      <c r="A14" t="inlineStr">
        <is>
          <t>manganeso</t>
        </is>
      </c>
      <c r="B14" t="n">
        <v>0.05</v>
      </c>
      <c r="C14" t="n">
        <v>0.35</v>
      </c>
      <c r="D14" t="n">
        <v>0.05</v>
      </c>
      <c r="E14" t="n">
        <v>0.05</v>
      </c>
      <c r="F14" t="n">
        <v>0.05</v>
      </c>
      <c r="G14" t="n">
        <v>0.08</v>
      </c>
      <c r="H14" t="n">
        <v>0.05</v>
      </c>
      <c r="I14" t="n">
        <v>0.05</v>
      </c>
      <c r="J14" t="n">
        <v>0.07000000000000001</v>
      </c>
    </row>
    <row r="15">
      <c r="A15" t="inlineStr">
        <is>
          <t>cot</t>
        </is>
      </c>
      <c r="B15" t="n">
        <v>1</v>
      </c>
      <c r="C15" t="n">
        <v>4.16</v>
      </c>
      <c r="D15" t="n">
        <v>1</v>
      </c>
      <c r="E15" t="n">
        <v>1</v>
      </c>
      <c r="F15" t="n">
        <v>1</v>
      </c>
      <c r="G15" t="n">
        <v>1</v>
      </c>
      <c r="H15" t="n">
        <v>1.55</v>
      </c>
      <c r="I15" t="n">
        <v>1.42</v>
      </c>
      <c r="J15" t="n">
        <v>1.53</v>
      </c>
    </row>
    <row r="16">
      <c r="A16" t="inlineStr">
        <is>
          <t>zinc</t>
        </is>
      </c>
      <c r="B16" t="n">
        <v>0.05</v>
      </c>
      <c r="C16" t="n">
        <v>0.05</v>
      </c>
      <c r="D16" t="n">
        <v>0.05</v>
      </c>
      <c r="E16" t="n">
        <v>0.05</v>
      </c>
      <c r="F16" t="n">
        <v>0.05</v>
      </c>
      <c r="G16" t="n">
        <v>0.05</v>
      </c>
      <c r="H16" t="n">
        <v>0.05</v>
      </c>
      <c r="I16" t="n">
        <v>0.05</v>
      </c>
      <c r="J16" t="n">
        <v>0.05</v>
      </c>
    </row>
    <row r="17">
      <c r="A17" t="inlineStr">
        <is>
          <t>fluoruros</t>
        </is>
      </c>
      <c r="B17" t="n">
        <v>0.03</v>
      </c>
      <c r="C17" t="n">
        <v>0.1</v>
      </c>
      <c r="D17" t="n">
        <v>0.02</v>
      </c>
      <c r="E17" t="n">
        <v>0.03</v>
      </c>
      <c r="F17" t="n">
        <v>0.02</v>
      </c>
      <c r="G17" t="n">
        <v>0.02</v>
      </c>
      <c r="H17" t="n">
        <v>0.02</v>
      </c>
      <c r="I17" t="n">
        <v>0.02</v>
      </c>
      <c r="J17" t="n">
        <v>0.02</v>
      </c>
    </row>
    <row r="18">
      <c r="A18" t="inlineStr">
        <is>
          <t>nitritos_n</t>
        </is>
      </c>
      <c r="B18" t="n">
        <v>0.1</v>
      </c>
      <c r="C18" t="n">
        <v>0.1</v>
      </c>
      <c r="D18" t="n">
        <v>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</row>
    <row r="19">
      <c r="A19" t="inlineStr">
        <is>
          <t>nitratos_n</t>
        </is>
      </c>
      <c r="B19" t="n">
        <v>0.8</v>
      </c>
      <c r="C19" t="n">
        <v>1.6</v>
      </c>
      <c r="D19" t="n">
        <v>19.2</v>
      </c>
      <c r="E19" t="n">
        <v>1.3</v>
      </c>
      <c r="F19" t="n">
        <v>1.3</v>
      </c>
      <c r="G19" t="n">
        <v>12.4</v>
      </c>
      <c r="H19" t="n">
        <v>0.5</v>
      </c>
      <c r="I19" t="n">
        <v>0.7</v>
      </c>
      <c r="J19" t="n">
        <v>9.300000000000001</v>
      </c>
    </row>
    <row r="20">
      <c r="A20" t="inlineStr">
        <is>
          <t>cloruros</t>
        </is>
      </c>
      <c r="B20" t="n">
        <v>0.2</v>
      </c>
      <c r="C20" t="n">
        <v>5.3</v>
      </c>
      <c r="D20" t="n">
        <v>15</v>
      </c>
      <c r="E20" t="n">
        <v>0.8</v>
      </c>
      <c r="F20" t="n">
        <v>0.7</v>
      </c>
      <c r="G20" t="n">
        <v>8.199999999999999</v>
      </c>
      <c r="H20" t="n">
        <v>0.2</v>
      </c>
      <c r="I20" t="n">
        <v>0.2</v>
      </c>
      <c r="J20" t="n">
        <v>6.9</v>
      </c>
    </row>
    <row r="21">
      <c r="A21" t="inlineStr">
        <is>
          <t>sulfatos</t>
        </is>
      </c>
      <c r="B21" t="n">
        <v>0.2</v>
      </c>
      <c r="C21" t="n">
        <v>13</v>
      </c>
      <c r="D21" t="n">
        <v>0.5</v>
      </c>
      <c r="E21" t="n">
        <v>0.8</v>
      </c>
      <c r="F21" t="n">
        <v>0.2</v>
      </c>
      <c r="G21" t="n">
        <v>0.5</v>
      </c>
      <c r="H21" t="n">
        <v>0.2</v>
      </c>
      <c r="I21" t="n">
        <v>0.1</v>
      </c>
      <c r="J21" t="n">
        <v>0.4</v>
      </c>
    </row>
    <row r="22">
      <c r="A22" t="inlineStr">
        <is>
          <t>ortofosfatos</t>
        </is>
      </c>
      <c r="B22" t="n">
        <v>0.3</v>
      </c>
      <c r="C22" t="n">
        <v>0.3</v>
      </c>
      <c r="D22" t="n">
        <v>0.2</v>
      </c>
      <c r="E22" t="n">
        <v>0.2</v>
      </c>
      <c r="F22" t="n">
        <v>0.2</v>
      </c>
      <c r="G22" t="n">
        <v>0.2</v>
      </c>
      <c r="H22" t="n">
        <v>0.2</v>
      </c>
      <c r="I22" t="n">
        <v>0.2</v>
      </c>
      <c r="J22" t="n">
        <v>0.2</v>
      </c>
    </row>
    <row r="23">
      <c r="A23" t="inlineStr">
        <is>
          <t>solidos_totales</t>
        </is>
      </c>
      <c r="B23" t="n">
        <v>53</v>
      </c>
      <c r="C23" t="n">
        <v>754</v>
      </c>
      <c r="D23" t="n">
        <v>54</v>
      </c>
      <c r="E23" t="n">
        <v>47</v>
      </c>
      <c r="F23" t="n">
        <v>15</v>
      </c>
      <c r="G23" t="n">
        <v>63</v>
      </c>
      <c r="H23" t="n">
        <v>36</v>
      </c>
      <c r="I23" t="n">
        <v>17</v>
      </c>
      <c r="J23" t="n">
        <v>78</v>
      </c>
    </row>
    <row r="24">
      <c r="A24" t="inlineStr">
        <is>
          <t>sst</t>
        </is>
      </c>
      <c r="B24" t="n">
        <v>5</v>
      </c>
      <c r="C24" t="n">
        <v>605</v>
      </c>
      <c r="D24" t="n">
        <v>5</v>
      </c>
      <c r="E24" t="n">
        <v>7</v>
      </c>
      <c r="F24" t="n">
        <v>5</v>
      </c>
      <c r="G24" t="n">
        <v>5</v>
      </c>
      <c r="H24" t="n">
        <v>5</v>
      </c>
      <c r="I24" t="n">
        <v>5</v>
      </c>
      <c r="J24" t="n">
        <v>17</v>
      </c>
    </row>
    <row r="25">
      <c r="A25" t="inlineStr">
        <is>
          <t>coliformes_totales</t>
        </is>
      </c>
      <c r="C25" t="n">
        <v>1700</v>
      </c>
      <c r="D25" t="n">
        <v>18</v>
      </c>
      <c r="E25" t="n">
        <v>490</v>
      </c>
      <c r="F25" t="n">
        <v>170</v>
      </c>
      <c r="G25" t="n">
        <v>18</v>
      </c>
      <c r="H25" t="n">
        <v>580</v>
      </c>
      <c r="I25" t="n">
        <v>2400</v>
      </c>
      <c r="J25" t="n">
        <v>270</v>
      </c>
    </row>
    <row r="26">
      <c r="A26" t="inlineStr">
        <is>
          <t>e_coli</t>
        </is>
      </c>
      <c r="C26" t="n">
        <v>1100</v>
      </c>
      <c r="D26" t="n">
        <v>18</v>
      </c>
      <c r="E26" t="n">
        <v>93</v>
      </c>
      <c r="F26" t="n">
        <v>40</v>
      </c>
      <c r="G26" t="n">
        <v>18</v>
      </c>
      <c r="H26" t="n">
        <v>20</v>
      </c>
      <c r="I26" t="n">
        <v>45</v>
      </c>
      <c r="J26" t="n">
        <v>130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4" t="inlineStr">
        <is>
          <t>parametro</t>
        </is>
      </c>
      <c r="B1" s="4" t="inlineStr">
        <is>
          <t>39741</t>
        </is>
      </c>
      <c r="C1" s="4" t="inlineStr">
        <is>
          <t>39742</t>
        </is>
      </c>
      <c r="D1" s="4" t="inlineStr">
        <is>
          <t>39743</t>
        </is>
      </c>
      <c r="E1" s="4" t="inlineStr">
        <is>
          <t>39915</t>
        </is>
      </c>
      <c r="F1" s="4" t="inlineStr">
        <is>
          <t>39916</t>
        </is>
      </c>
      <c r="G1" s="4" t="inlineStr">
        <is>
          <t>39917</t>
        </is>
      </c>
      <c r="H1" s="4" t="inlineStr">
        <is>
          <t>40015</t>
        </is>
      </c>
      <c r="I1" s="4" t="inlineStr">
        <is>
          <t>40016</t>
        </is>
      </c>
      <c r="J1" s="4" t="inlineStr">
        <is>
          <t>40017</t>
        </is>
      </c>
    </row>
    <row r="2">
      <c r="A2" t="inlineStr">
        <is>
          <t>turbiedad</t>
        </is>
      </c>
    </row>
    <row r="3">
      <c r="A3" t="inlineStr">
        <is>
          <t>color_aparente</t>
        </is>
      </c>
    </row>
    <row r="4">
      <c r="A4" t="inlineStr">
        <is>
          <t>ph</t>
        </is>
      </c>
    </row>
    <row r="5">
      <c r="A5" t="inlineStr">
        <is>
          <t>conductividad</t>
        </is>
      </c>
    </row>
    <row r="6">
      <c r="A6" t="inlineStr">
        <is>
          <t>alcalinidad</t>
        </is>
      </c>
      <c r="G6" t="inlineStr">
        <is>
          <t>&lt;</t>
        </is>
      </c>
    </row>
    <row r="7">
      <c r="A7" t="inlineStr">
        <is>
          <t>acidez</t>
        </is>
      </c>
      <c r="C7" t="inlineStr">
        <is>
          <t>&lt;</t>
        </is>
      </c>
      <c r="F7" t="inlineStr">
        <is>
          <t>&lt;</t>
        </is>
      </c>
    </row>
    <row r="8">
      <c r="A8" t="inlineStr">
        <is>
          <t>dureza_total</t>
        </is>
      </c>
      <c r="F8" t="inlineStr">
        <is>
          <t>&lt;</t>
        </is>
      </c>
    </row>
    <row r="9">
      <c r="A9" t="inlineStr">
        <is>
          <t>dureza_calcica</t>
        </is>
      </c>
      <c r="B9" t="inlineStr">
        <is>
          <t>&lt;</t>
        </is>
      </c>
      <c r="D9" t="inlineStr">
        <is>
          <t>&lt;</t>
        </is>
      </c>
      <c r="E9" t="inlineStr">
        <is>
          <t>&lt;</t>
        </is>
      </c>
      <c r="F9" t="inlineStr">
        <is>
          <t>&lt;</t>
        </is>
      </c>
      <c r="G9" t="inlineStr">
        <is>
          <t>&lt;</t>
        </is>
      </c>
      <c r="I9" t="inlineStr">
        <is>
          <t>&lt;</t>
        </is>
      </c>
      <c r="J9" t="inlineStr">
        <is>
          <t>&lt;</t>
        </is>
      </c>
    </row>
    <row r="10">
      <c r="A10" t="inlineStr">
        <is>
          <t>dureza_magnesica</t>
        </is>
      </c>
    </row>
    <row r="11">
      <c r="A11" t="inlineStr">
        <is>
          <t>calcio</t>
        </is>
      </c>
    </row>
    <row r="12">
      <c r="A12" t="inlineStr">
        <is>
          <t>magnesio</t>
        </is>
      </c>
    </row>
    <row r="13">
      <c r="A13" t="inlineStr">
        <is>
          <t>hierro</t>
        </is>
      </c>
      <c r="B13" t="inlineStr">
        <is>
          <t>&lt;</t>
        </is>
      </c>
      <c r="D13" t="inlineStr">
        <is>
          <t>&lt;</t>
        </is>
      </c>
      <c r="E13" t="inlineStr">
        <is>
          <t>&lt;</t>
        </is>
      </c>
      <c r="F13" t="inlineStr">
        <is>
          <t>&lt;</t>
        </is>
      </c>
      <c r="G13" t="inlineStr">
        <is>
          <t>&lt;</t>
        </is>
      </c>
      <c r="H13" t="inlineStr">
        <is>
          <t>&lt;</t>
        </is>
      </c>
      <c r="I13" t="inlineStr">
        <is>
          <t>&lt;</t>
        </is>
      </c>
      <c r="J13" t="inlineStr">
        <is>
          <t>&lt;</t>
        </is>
      </c>
    </row>
    <row r="14">
      <c r="A14" t="inlineStr">
        <is>
          <t>manganeso</t>
        </is>
      </c>
      <c r="B14" t="inlineStr">
        <is>
          <t>&lt;</t>
        </is>
      </c>
      <c r="E14" t="inlineStr">
        <is>
          <t>&lt;</t>
        </is>
      </c>
      <c r="F14" t="inlineStr">
        <is>
          <t>&lt;</t>
        </is>
      </c>
      <c r="H14" t="inlineStr">
        <is>
          <t>&lt;</t>
        </is>
      </c>
      <c r="I14" t="inlineStr">
        <is>
          <t>&lt;</t>
        </is>
      </c>
    </row>
    <row r="15">
      <c r="A15" t="inlineStr">
        <is>
          <t>cot</t>
        </is>
      </c>
      <c r="B15" t="inlineStr">
        <is>
          <t>&lt;</t>
        </is>
      </c>
      <c r="D15" t="inlineStr">
        <is>
          <t>&lt;</t>
        </is>
      </c>
      <c r="E15" t="inlineStr">
        <is>
          <t>&lt;</t>
        </is>
      </c>
      <c r="F15" t="inlineStr">
        <is>
          <t>&lt;</t>
        </is>
      </c>
      <c r="G15" t="inlineStr">
        <is>
          <t>&lt;</t>
        </is>
      </c>
    </row>
    <row r="16">
      <c r="A16" t="inlineStr">
        <is>
          <t>zinc</t>
        </is>
      </c>
      <c r="B16" t="inlineStr">
        <is>
          <t>&lt;</t>
        </is>
      </c>
      <c r="C16" t="inlineStr">
        <is>
          <t>&lt;</t>
        </is>
      </c>
      <c r="D16" t="inlineStr">
        <is>
          <t>&lt;</t>
        </is>
      </c>
      <c r="E16" t="inlineStr">
        <is>
          <t>&lt;</t>
        </is>
      </c>
      <c r="F16" t="inlineStr">
        <is>
          <t>&lt;</t>
        </is>
      </c>
      <c r="G16" t="inlineStr">
        <is>
          <t>&lt;</t>
        </is>
      </c>
      <c r="H16" t="inlineStr">
        <is>
          <t>&lt;</t>
        </is>
      </c>
      <c r="I16" t="inlineStr">
        <is>
          <t>&lt;</t>
        </is>
      </c>
      <c r="J16" t="inlineStr">
        <is>
          <t>&lt;</t>
        </is>
      </c>
    </row>
    <row r="17">
      <c r="A17" t="inlineStr">
        <is>
          <t>fluoruros</t>
        </is>
      </c>
      <c r="D17" t="inlineStr">
        <is>
          <t>&lt;</t>
        </is>
      </c>
      <c r="F17" t="inlineStr">
        <is>
          <t>&lt;</t>
        </is>
      </c>
      <c r="G17" t="inlineStr">
        <is>
          <t>&lt;</t>
        </is>
      </c>
      <c r="H17" t="inlineStr">
        <is>
          <t>&lt;</t>
        </is>
      </c>
      <c r="I17" t="inlineStr">
        <is>
          <t>&lt;</t>
        </is>
      </c>
      <c r="J17" t="inlineStr">
        <is>
          <t>&lt;</t>
        </is>
      </c>
    </row>
    <row r="18">
      <c r="A18" t="inlineStr">
        <is>
          <t>nitritos_n</t>
        </is>
      </c>
      <c r="B18" t="inlineStr">
        <is>
          <t>&lt;</t>
        </is>
      </c>
      <c r="C18" t="inlineStr">
        <is>
          <t>&lt;</t>
        </is>
      </c>
      <c r="D18" t="inlineStr">
        <is>
          <t>&lt;</t>
        </is>
      </c>
      <c r="E18" t="inlineStr">
        <is>
          <t>&lt;</t>
        </is>
      </c>
      <c r="F18" t="inlineStr">
        <is>
          <t>&lt;</t>
        </is>
      </c>
      <c r="G18" t="inlineStr">
        <is>
          <t>&lt;</t>
        </is>
      </c>
      <c r="H18" t="inlineStr">
        <is>
          <t>&lt;</t>
        </is>
      </c>
      <c r="I18" t="inlineStr">
        <is>
          <t>&lt;</t>
        </is>
      </c>
      <c r="J18" t="inlineStr">
        <is>
          <t>&lt;</t>
        </is>
      </c>
    </row>
    <row r="19">
      <c r="A19" t="inlineStr">
        <is>
          <t>nitratos_n</t>
        </is>
      </c>
    </row>
    <row r="20">
      <c r="A20" t="inlineStr">
        <is>
          <t>cloruros</t>
        </is>
      </c>
    </row>
    <row r="21">
      <c r="A21" t="inlineStr">
        <is>
          <t>sulfatos</t>
        </is>
      </c>
    </row>
    <row r="22">
      <c r="A22" t="inlineStr">
        <is>
          <t>ortofosfatos</t>
        </is>
      </c>
      <c r="D22" t="inlineStr">
        <is>
          <t>&lt;</t>
        </is>
      </c>
      <c r="E22" t="inlineStr">
        <is>
          <t>&lt;</t>
        </is>
      </c>
      <c r="F22" t="inlineStr">
        <is>
          <t>&lt;</t>
        </is>
      </c>
      <c r="G22" t="inlineStr">
        <is>
          <t>&lt;</t>
        </is>
      </c>
      <c r="I22" t="inlineStr">
        <is>
          <t>&lt;</t>
        </is>
      </c>
      <c r="J22" t="inlineStr">
        <is>
          <t>&lt;</t>
        </is>
      </c>
    </row>
    <row r="23">
      <c r="A23" t="inlineStr">
        <is>
          <t>solidos_totales</t>
        </is>
      </c>
    </row>
    <row r="24">
      <c r="A24" t="inlineStr">
        <is>
          <t>sst</t>
        </is>
      </c>
      <c r="B24" t="inlineStr">
        <is>
          <t>&lt;</t>
        </is>
      </c>
      <c r="D24" t="inlineStr">
        <is>
          <t>&lt;</t>
        </is>
      </c>
      <c r="F24" t="inlineStr">
        <is>
          <t>&lt;</t>
        </is>
      </c>
      <c r="G24" t="inlineStr">
        <is>
          <t>&lt;</t>
        </is>
      </c>
      <c r="H24" t="inlineStr">
        <is>
          <t>&lt;</t>
        </is>
      </c>
      <c r="I24" t="inlineStr">
        <is>
          <t>&lt;</t>
        </is>
      </c>
    </row>
    <row r="25">
      <c r="A25" t="inlineStr">
        <is>
          <t>coliformes_totales</t>
        </is>
      </c>
      <c r="D25" t="inlineStr">
        <is>
          <t>&lt;</t>
        </is>
      </c>
      <c r="G25" t="inlineStr">
        <is>
          <t>&lt;</t>
        </is>
      </c>
    </row>
    <row r="26">
      <c r="A26" t="inlineStr">
        <is>
          <t>e_coli</t>
        </is>
      </c>
      <c r="D26" t="inlineStr">
        <is>
          <t>&lt;</t>
        </is>
      </c>
      <c r="G26" t="inlineStr">
        <is>
          <t>&lt;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9" customWidth="1" min="3" max="3"/>
    <col width="7" customWidth="1" min="4" max="4"/>
    <col width="7" customWidth="1" min="5" max="5"/>
    <col width="14" customWidth="1" min="6" max="6"/>
    <col width="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4" t="inlineStr">
        <is>
          <t>codigo</t>
        </is>
      </c>
      <c r="B1" s="4" t="inlineStr">
        <is>
          <t>característica</t>
        </is>
      </c>
      <c r="C1" s="4" t="inlineStr">
        <is>
          <t>puntaje</t>
        </is>
      </c>
      <c r="D1" s="4" t="inlineStr">
        <is>
          <t>mín</t>
        </is>
      </c>
      <c r="E1" s="4" t="inlineStr">
        <is>
          <t>máx</t>
        </is>
      </c>
      <c r="F1" s="4" t="inlineStr">
        <is>
          <t>unidad del límite</t>
        </is>
      </c>
      <c r="G1" s="4" t="inlineStr">
        <is>
          <t>factor</t>
        </is>
      </c>
      <c r="H1" s="4" t="inlineStr">
        <is>
          <t>39741</t>
        </is>
      </c>
      <c r="I1" s="4" t="inlineStr">
        <is>
          <t>39742</t>
        </is>
      </c>
      <c r="J1" s="4" t="inlineStr">
        <is>
          <t>39743</t>
        </is>
      </c>
      <c r="K1" s="4" t="inlineStr">
        <is>
          <t>39915</t>
        </is>
      </c>
      <c r="L1" s="4" t="inlineStr">
        <is>
          <t>39916</t>
        </is>
      </c>
      <c r="M1" s="4" t="inlineStr">
        <is>
          <t>39917</t>
        </is>
      </c>
      <c r="N1" s="4" t="inlineStr">
        <is>
          <t>40015</t>
        </is>
      </c>
      <c r="O1" s="4" t="inlineStr">
        <is>
          <t>40016</t>
        </is>
      </c>
      <c r="P1" s="4" t="inlineStr">
        <is>
          <t>40017</t>
        </is>
      </c>
    </row>
    <row r="2">
      <c r="A2" t="inlineStr">
        <is>
          <t>color_aparente</t>
        </is>
      </c>
      <c r="B2" t="inlineStr">
        <is>
          <t>Color aparente</t>
        </is>
      </c>
      <c r="C2" t="n">
        <v>6</v>
      </c>
      <c r="E2" t="n">
        <v>15</v>
      </c>
      <c r="F2" t="inlineStr">
        <is>
          <t>UPC</t>
        </is>
      </c>
      <c r="G2" t="n">
        <v>1</v>
      </c>
      <c r="H2">
        <f>IF(ISNA(MATCH($A2,matriz_valor!$A$2:$A$26,0)),"no analizado",IF(INDEX(matriz_valor!$B$2:$J$26,MATCH($A2,matriz_valor!$A$2:$A$26,0),MATCH(H$1,matriz_valor!$B$1:$J$1,0))="","no analizado",IF(INDEX(matriz_signo!$B$2:$J$26,MATCH($A2,matriz_valor!$A$2:$A$26,0),MATCH(H$1,matriz_valor!$B$1:$J$1,0))="&lt;",IF($D2&lt;&gt;"","no concluyente",IF(INDEX(matriz_valor!$B$2:$J$26,MATCH($A2,matriz_valor!$A$2:$A$26,0),MATCH(H$1,matriz_valor!$B$1:$J$1,0))*$G2&lt;=$E2,"cumple","no concluyente")),IF(AND(OR($D2="",INDEX(matriz_valor!$B$2:$J$26,MATCH($A2,matriz_valor!$A$2:$A$26,0),MATCH(H$1,matriz_valor!$B$1:$J$1,0))*$G2&gt;=$D2),INDEX(matriz_valor!$B$2:$J$26,MATCH($A2,matriz_valor!$A$2:$A$26,0),MATCH(H$1,matriz_valor!$B$1:$J$1,0))*$G2&lt;=$E2),"cumple","no cumple"))))</f>
        <v/>
      </c>
      <c r="I2">
        <f>IF(ISNA(MATCH($A2,matriz_valor!$A$2:$A$26,0)),"no analizado",IF(INDEX(matriz_valor!$B$2:$J$26,MATCH($A2,matriz_valor!$A$2:$A$26,0),MATCH(I$1,matriz_valor!$B$1:$J$1,0))="","no analizado",IF(INDEX(matriz_signo!$B$2:$J$26,MATCH($A2,matriz_valor!$A$2:$A$26,0),MATCH(I$1,matriz_valor!$B$1:$J$1,0))="&lt;",IF($D2&lt;&gt;"","no concluyente",IF(INDEX(matriz_valor!$B$2:$J$26,MATCH($A2,matriz_valor!$A$2:$A$26,0),MATCH(I$1,matriz_valor!$B$1:$J$1,0))*$G2&lt;=$E2,"cumple","no concluyente")),IF(AND(OR($D2="",INDEX(matriz_valor!$B$2:$J$26,MATCH($A2,matriz_valor!$A$2:$A$26,0),MATCH(I$1,matriz_valor!$B$1:$J$1,0))*$G2&gt;=$D2),INDEX(matriz_valor!$B$2:$J$26,MATCH($A2,matriz_valor!$A$2:$A$26,0),MATCH(I$1,matriz_valor!$B$1:$J$1,0))*$G2&lt;=$E2),"cumple","no cumple"))))</f>
        <v/>
      </c>
      <c r="J2">
        <f>IF(ISNA(MATCH($A2,matriz_valor!$A$2:$A$26,0)),"no analizado",IF(INDEX(matriz_valor!$B$2:$J$26,MATCH($A2,matriz_valor!$A$2:$A$26,0),MATCH(J$1,matriz_valor!$B$1:$J$1,0))="","no analizado",IF(INDEX(matriz_signo!$B$2:$J$26,MATCH($A2,matriz_valor!$A$2:$A$26,0),MATCH(J$1,matriz_valor!$B$1:$J$1,0))="&lt;",IF($D2&lt;&gt;"","no concluyente",IF(INDEX(matriz_valor!$B$2:$J$26,MATCH($A2,matriz_valor!$A$2:$A$26,0),MATCH(J$1,matriz_valor!$B$1:$J$1,0))*$G2&lt;=$E2,"cumple","no concluyente")),IF(AND(OR($D2="",INDEX(matriz_valor!$B$2:$J$26,MATCH($A2,matriz_valor!$A$2:$A$26,0),MATCH(J$1,matriz_valor!$B$1:$J$1,0))*$G2&gt;=$D2),INDEX(matriz_valor!$B$2:$J$26,MATCH($A2,matriz_valor!$A$2:$A$26,0),MATCH(J$1,matriz_valor!$B$1:$J$1,0))*$G2&lt;=$E2),"cumple","no cumple"))))</f>
        <v/>
      </c>
      <c r="K2">
        <f>IF(ISNA(MATCH($A2,matriz_valor!$A$2:$A$26,0)),"no analizado",IF(INDEX(matriz_valor!$B$2:$J$26,MATCH($A2,matriz_valor!$A$2:$A$26,0),MATCH(K$1,matriz_valor!$B$1:$J$1,0))="","no analizado",IF(INDEX(matriz_signo!$B$2:$J$26,MATCH($A2,matriz_valor!$A$2:$A$26,0),MATCH(K$1,matriz_valor!$B$1:$J$1,0))="&lt;",IF($D2&lt;&gt;"","no concluyente",IF(INDEX(matriz_valor!$B$2:$J$26,MATCH($A2,matriz_valor!$A$2:$A$26,0),MATCH(K$1,matriz_valor!$B$1:$J$1,0))*$G2&lt;=$E2,"cumple","no concluyente")),IF(AND(OR($D2="",INDEX(matriz_valor!$B$2:$J$26,MATCH($A2,matriz_valor!$A$2:$A$26,0),MATCH(K$1,matriz_valor!$B$1:$J$1,0))*$G2&gt;=$D2),INDEX(matriz_valor!$B$2:$J$26,MATCH($A2,matriz_valor!$A$2:$A$26,0),MATCH(K$1,matriz_valor!$B$1:$J$1,0))*$G2&lt;=$E2),"cumple","no cumple"))))</f>
        <v/>
      </c>
      <c r="L2">
        <f>IF(ISNA(MATCH($A2,matriz_valor!$A$2:$A$26,0)),"no analizado",IF(INDEX(matriz_valor!$B$2:$J$26,MATCH($A2,matriz_valor!$A$2:$A$26,0),MATCH(L$1,matriz_valor!$B$1:$J$1,0))="","no analizado",IF(INDEX(matriz_signo!$B$2:$J$26,MATCH($A2,matriz_valor!$A$2:$A$26,0),MATCH(L$1,matriz_valor!$B$1:$J$1,0))="&lt;",IF($D2&lt;&gt;"","no concluyente",IF(INDEX(matriz_valor!$B$2:$J$26,MATCH($A2,matriz_valor!$A$2:$A$26,0),MATCH(L$1,matriz_valor!$B$1:$J$1,0))*$G2&lt;=$E2,"cumple","no concluyente")),IF(AND(OR($D2="",INDEX(matriz_valor!$B$2:$J$26,MATCH($A2,matriz_valor!$A$2:$A$26,0),MATCH(L$1,matriz_valor!$B$1:$J$1,0))*$G2&gt;=$D2),INDEX(matriz_valor!$B$2:$J$26,MATCH($A2,matriz_valor!$A$2:$A$26,0),MATCH(L$1,matriz_valor!$B$1:$J$1,0))*$G2&lt;=$E2),"cumple","no cumple"))))</f>
        <v/>
      </c>
      <c r="M2">
        <f>IF(ISNA(MATCH($A2,matriz_valor!$A$2:$A$26,0)),"no analizado",IF(INDEX(matriz_valor!$B$2:$J$26,MATCH($A2,matriz_valor!$A$2:$A$26,0),MATCH(M$1,matriz_valor!$B$1:$J$1,0))="","no analizado",IF(INDEX(matriz_signo!$B$2:$J$26,MATCH($A2,matriz_valor!$A$2:$A$26,0),MATCH(M$1,matriz_valor!$B$1:$J$1,0))="&lt;",IF($D2&lt;&gt;"","no concluyente",IF(INDEX(matriz_valor!$B$2:$J$26,MATCH($A2,matriz_valor!$A$2:$A$26,0),MATCH(M$1,matriz_valor!$B$1:$J$1,0))*$G2&lt;=$E2,"cumple","no concluyente")),IF(AND(OR($D2="",INDEX(matriz_valor!$B$2:$J$26,MATCH($A2,matriz_valor!$A$2:$A$26,0),MATCH(M$1,matriz_valor!$B$1:$J$1,0))*$G2&gt;=$D2),INDEX(matriz_valor!$B$2:$J$26,MATCH($A2,matriz_valor!$A$2:$A$26,0),MATCH(M$1,matriz_valor!$B$1:$J$1,0))*$G2&lt;=$E2),"cumple","no cumple"))))</f>
        <v/>
      </c>
      <c r="N2">
        <f>IF(ISNA(MATCH($A2,matriz_valor!$A$2:$A$26,0)),"no analizado",IF(INDEX(matriz_valor!$B$2:$J$26,MATCH($A2,matriz_valor!$A$2:$A$26,0),MATCH(N$1,matriz_valor!$B$1:$J$1,0))="","no analizado",IF(INDEX(matriz_signo!$B$2:$J$26,MATCH($A2,matriz_valor!$A$2:$A$26,0),MATCH(N$1,matriz_valor!$B$1:$J$1,0))="&lt;",IF($D2&lt;&gt;"","no concluyente",IF(INDEX(matriz_valor!$B$2:$J$26,MATCH($A2,matriz_valor!$A$2:$A$26,0),MATCH(N$1,matriz_valor!$B$1:$J$1,0))*$G2&lt;=$E2,"cumple","no concluyente")),IF(AND(OR($D2="",INDEX(matriz_valor!$B$2:$J$26,MATCH($A2,matriz_valor!$A$2:$A$26,0),MATCH(N$1,matriz_valor!$B$1:$J$1,0))*$G2&gt;=$D2),INDEX(matriz_valor!$B$2:$J$26,MATCH($A2,matriz_valor!$A$2:$A$26,0),MATCH(N$1,matriz_valor!$B$1:$J$1,0))*$G2&lt;=$E2),"cumple","no cumple"))))</f>
        <v/>
      </c>
      <c r="O2">
        <f>IF(ISNA(MATCH($A2,matriz_valor!$A$2:$A$26,0)),"no analizado",IF(INDEX(matriz_valor!$B$2:$J$26,MATCH($A2,matriz_valor!$A$2:$A$26,0),MATCH(O$1,matriz_valor!$B$1:$J$1,0))="","no analizado",IF(INDEX(matriz_signo!$B$2:$J$26,MATCH($A2,matriz_valor!$A$2:$A$26,0),MATCH(O$1,matriz_valor!$B$1:$J$1,0))="&lt;",IF($D2&lt;&gt;"","no concluyente",IF(INDEX(matriz_valor!$B$2:$J$26,MATCH($A2,matriz_valor!$A$2:$A$26,0),MATCH(O$1,matriz_valor!$B$1:$J$1,0))*$G2&lt;=$E2,"cumple","no concluyente")),IF(AND(OR($D2="",INDEX(matriz_valor!$B$2:$J$26,MATCH($A2,matriz_valor!$A$2:$A$26,0),MATCH(O$1,matriz_valor!$B$1:$J$1,0))*$G2&gt;=$D2),INDEX(matriz_valor!$B$2:$J$26,MATCH($A2,matriz_valor!$A$2:$A$26,0),MATCH(O$1,matriz_valor!$B$1:$J$1,0))*$G2&lt;=$E2),"cumple","no cumple"))))</f>
        <v/>
      </c>
      <c r="P2">
        <f>IF(ISNA(MATCH($A2,matriz_valor!$A$2:$A$26,0)),"no analizado",IF(INDEX(matriz_valor!$B$2:$J$26,MATCH($A2,matriz_valor!$A$2:$A$26,0),MATCH(P$1,matriz_valor!$B$1:$J$1,0))="","no analizado",IF(INDEX(matriz_signo!$B$2:$J$26,MATCH($A2,matriz_valor!$A$2:$A$26,0),MATCH(P$1,matriz_valor!$B$1:$J$1,0))="&lt;",IF($D2&lt;&gt;"","no concluyente",IF(INDEX(matriz_valor!$B$2:$J$26,MATCH($A2,matriz_valor!$A$2:$A$26,0),MATCH(P$1,matriz_valor!$B$1:$J$1,0))*$G2&lt;=$E2,"cumple","no concluyente")),IF(AND(OR($D2="",INDEX(matriz_valor!$B$2:$J$26,MATCH($A2,matriz_valor!$A$2:$A$26,0),MATCH(P$1,matriz_valor!$B$1:$J$1,0))*$G2&gt;=$D2),INDEX(matriz_valor!$B$2:$J$26,MATCH($A2,matriz_valor!$A$2:$A$26,0),MATCH(P$1,matriz_valor!$B$1:$J$1,0))*$G2&lt;=$E2),"cumple","no cumple"))))</f>
        <v/>
      </c>
    </row>
    <row r="3">
      <c r="A3" t="inlineStr">
        <is>
          <t>turbiedad</t>
        </is>
      </c>
      <c r="B3" t="inlineStr">
        <is>
          <t>Turbiedad</t>
        </is>
      </c>
      <c r="C3" t="n">
        <v>15</v>
      </c>
      <c r="E3" t="n">
        <v>2</v>
      </c>
      <c r="F3" t="inlineStr">
        <is>
          <t>UNT</t>
        </is>
      </c>
      <c r="G3" t="n">
        <v>1</v>
      </c>
      <c r="H3">
        <f>IF(ISNA(MATCH($A3,matriz_valor!$A$2:$A$26,0)),"no analizado",IF(INDEX(matriz_valor!$B$2:$J$26,MATCH($A3,matriz_valor!$A$2:$A$26,0),MATCH(H$1,matriz_valor!$B$1:$J$1,0))="","no analizado",IF(INDEX(matriz_signo!$B$2:$J$26,MATCH($A3,matriz_valor!$A$2:$A$26,0),MATCH(H$1,matriz_valor!$B$1:$J$1,0))="&lt;",IF($D3&lt;&gt;"","no concluyente",IF(INDEX(matriz_valor!$B$2:$J$26,MATCH($A3,matriz_valor!$A$2:$A$26,0),MATCH(H$1,matriz_valor!$B$1:$J$1,0))*$G3&lt;=$E3,"cumple","no concluyente")),IF(AND(OR($D3="",INDEX(matriz_valor!$B$2:$J$26,MATCH($A3,matriz_valor!$A$2:$A$26,0),MATCH(H$1,matriz_valor!$B$1:$J$1,0))*$G3&gt;=$D3),INDEX(matriz_valor!$B$2:$J$26,MATCH($A3,matriz_valor!$A$2:$A$26,0),MATCH(H$1,matriz_valor!$B$1:$J$1,0))*$G3&lt;=$E3),"cumple","no cumple"))))</f>
        <v/>
      </c>
      <c r="I3">
        <f>IF(ISNA(MATCH($A3,matriz_valor!$A$2:$A$26,0)),"no analizado",IF(INDEX(matriz_valor!$B$2:$J$26,MATCH($A3,matriz_valor!$A$2:$A$26,0),MATCH(I$1,matriz_valor!$B$1:$J$1,0))="","no analizado",IF(INDEX(matriz_signo!$B$2:$J$26,MATCH($A3,matriz_valor!$A$2:$A$26,0),MATCH(I$1,matriz_valor!$B$1:$J$1,0))="&lt;",IF($D3&lt;&gt;"","no concluyente",IF(INDEX(matriz_valor!$B$2:$J$26,MATCH($A3,matriz_valor!$A$2:$A$26,0),MATCH(I$1,matriz_valor!$B$1:$J$1,0))*$G3&lt;=$E3,"cumple","no concluyente")),IF(AND(OR($D3="",INDEX(matriz_valor!$B$2:$J$26,MATCH($A3,matriz_valor!$A$2:$A$26,0),MATCH(I$1,matriz_valor!$B$1:$J$1,0))*$G3&gt;=$D3),INDEX(matriz_valor!$B$2:$J$26,MATCH($A3,matriz_valor!$A$2:$A$26,0),MATCH(I$1,matriz_valor!$B$1:$J$1,0))*$G3&lt;=$E3),"cumple","no cumple"))))</f>
        <v/>
      </c>
      <c r="J3">
        <f>IF(ISNA(MATCH($A3,matriz_valor!$A$2:$A$26,0)),"no analizado",IF(INDEX(matriz_valor!$B$2:$J$26,MATCH($A3,matriz_valor!$A$2:$A$26,0),MATCH(J$1,matriz_valor!$B$1:$J$1,0))="","no analizado",IF(INDEX(matriz_signo!$B$2:$J$26,MATCH($A3,matriz_valor!$A$2:$A$26,0),MATCH(J$1,matriz_valor!$B$1:$J$1,0))="&lt;",IF($D3&lt;&gt;"","no concluyente",IF(INDEX(matriz_valor!$B$2:$J$26,MATCH($A3,matriz_valor!$A$2:$A$26,0),MATCH(J$1,matriz_valor!$B$1:$J$1,0))*$G3&lt;=$E3,"cumple","no concluyente")),IF(AND(OR($D3="",INDEX(matriz_valor!$B$2:$J$26,MATCH($A3,matriz_valor!$A$2:$A$26,0),MATCH(J$1,matriz_valor!$B$1:$J$1,0))*$G3&gt;=$D3),INDEX(matriz_valor!$B$2:$J$26,MATCH($A3,matriz_valor!$A$2:$A$26,0),MATCH(J$1,matriz_valor!$B$1:$J$1,0))*$G3&lt;=$E3),"cumple","no cumple"))))</f>
        <v/>
      </c>
      <c r="K3">
        <f>IF(ISNA(MATCH($A3,matriz_valor!$A$2:$A$26,0)),"no analizado",IF(INDEX(matriz_valor!$B$2:$J$26,MATCH($A3,matriz_valor!$A$2:$A$26,0),MATCH(K$1,matriz_valor!$B$1:$J$1,0))="","no analizado",IF(INDEX(matriz_signo!$B$2:$J$26,MATCH($A3,matriz_valor!$A$2:$A$26,0),MATCH(K$1,matriz_valor!$B$1:$J$1,0))="&lt;",IF($D3&lt;&gt;"","no concluyente",IF(INDEX(matriz_valor!$B$2:$J$26,MATCH($A3,matriz_valor!$A$2:$A$26,0),MATCH(K$1,matriz_valor!$B$1:$J$1,0))*$G3&lt;=$E3,"cumple","no concluyente")),IF(AND(OR($D3="",INDEX(matriz_valor!$B$2:$J$26,MATCH($A3,matriz_valor!$A$2:$A$26,0),MATCH(K$1,matriz_valor!$B$1:$J$1,0))*$G3&gt;=$D3),INDEX(matriz_valor!$B$2:$J$26,MATCH($A3,matriz_valor!$A$2:$A$26,0),MATCH(K$1,matriz_valor!$B$1:$J$1,0))*$G3&lt;=$E3),"cumple","no cumple"))))</f>
        <v/>
      </c>
      <c r="L3">
        <f>IF(ISNA(MATCH($A3,matriz_valor!$A$2:$A$26,0)),"no analizado",IF(INDEX(matriz_valor!$B$2:$J$26,MATCH($A3,matriz_valor!$A$2:$A$26,0),MATCH(L$1,matriz_valor!$B$1:$J$1,0))="","no analizado",IF(INDEX(matriz_signo!$B$2:$J$26,MATCH($A3,matriz_valor!$A$2:$A$26,0),MATCH(L$1,matriz_valor!$B$1:$J$1,0))="&lt;",IF($D3&lt;&gt;"","no concluyente",IF(INDEX(matriz_valor!$B$2:$J$26,MATCH($A3,matriz_valor!$A$2:$A$26,0),MATCH(L$1,matriz_valor!$B$1:$J$1,0))*$G3&lt;=$E3,"cumple","no concluyente")),IF(AND(OR($D3="",INDEX(matriz_valor!$B$2:$J$26,MATCH($A3,matriz_valor!$A$2:$A$26,0),MATCH(L$1,matriz_valor!$B$1:$J$1,0))*$G3&gt;=$D3),INDEX(matriz_valor!$B$2:$J$26,MATCH($A3,matriz_valor!$A$2:$A$26,0),MATCH(L$1,matriz_valor!$B$1:$J$1,0))*$G3&lt;=$E3),"cumple","no cumple"))))</f>
        <v/>
      </c>
      <c r="M3">
        <f>IF(ISNA(MATCH($A3,matriz_valor!$A$2:$A$26,0)),"no analizado",IF(INDEX(matriz_valor!$B$2:$J$26,MATCH($A3,matriz_valor!$A$2:$A$26,0),MATCH(M$1,matriz_valor!$B$1:$J$1,0))="","no analizado",IF(INDEX(matriz_signo!$B$2:$J$26,MATCH($A3,matriz_valor!$A$2:$A$26,0),MATCH(M$1,matriz_valor!$B$1:$J$1,0))="&lt;",IF($D3&lt;&gt;"","no concluyente",IF(INDEX(matriz_valor!$B$2:$J$26,MATCH($A3,matriz_valor!$A$2:$A$26,0),MATCH(M$1,matriz_valor!$B$1:$J$1,0))*$G3&lt;=$E3,"cumple","no concluyente")),IF(AND(OR($D3="",INDEX(matriz_valor!$B$2:$J$26,MATCH($A3,matriz_valor!$A$2:$A$26,0),MATCH(M$1,matriz_valor!$B$1:$J$1,0))*$G3&gt;=$D3),INDEX(matriz_valor!$B$2:$J$26,MATCH($A3,matriz_valor!$A$2:$A$26,0),MATCH(M$1,matriz_valor!$B$1:$J$1,0))*$G3&lt;=$E3),"cumple","no cumple"))))</f>
        <v/>
      </c>
      <c r="N3">
        <f>IF(ISNA(MATCH($A3,matriz_valor!$A$2:$A$26,0)),"no analizado",IF(INDEX(matriz_valor!$B$2:$J$26,MATCH($A3,matriz_valor!$A$2:$A$26,0),MATCH(N$1,matriz_valor!$B$1:$J$1,0))="","no analizado",IF(INDEX(matriz_signo!$B$2:$J$26,MATCH($A3,matriz_valor!$A$2:$A$26,0),MATCH(N$1,matriz_valor!$B$1:$J$1,0))="&lt;",IF($D3&lt;&gt;"","no concluyente",IF(INDEX(matriz_valor!$B$2:$J$26,MATCH($A3,matriz_valor!$A$2:$A$26,0),MATCH(N$1,matriz_valor!$B$1:$J$1,0))*$G3&lt;=$E3,"cumple","no concluyente")),IF(AND(OR($D3="",INDEX(matriz_valor!$B$2:$J$26,MATCH($A3,matriz_valor!$A$2:$A$26,0),MATCH(N$1,matriz_valor!$B$1:$J$1,0))*$G3&gt;=$D3),INDEX(matriz_valor!$B$2:$J$26,MATCH($A3,matriz_valor!$A$2:$A$26,0),MATCH(N$1,matriz_valor!$B$1:$J$1,0))*$G3&lt;=$E3),"cumple","no cumple"))))</f>
        <v/>
      </c>
      <c r="O3">
        <f>IF(ISNA(MATCH($A3,matriz_valor!$A$2:$A$26,0)),"no analizado",IF(INDEX(matriz_valor!$B$2:$J$26,MATCH($A3,matriz_valor!$A$2:$A$26,0),MATCH(O$1,matriz_valor!$B$1:$J$1,0))="","no analizado",IF(INDEX(matriz_signo!$B$2:$J$26,MATCH($A3,matriz_valor!$A$2:$A$26,0),MATCH(O$1,matriz_valor!$B$1:$J$1,0))="&lt;",IF($D3&lt;&gt;"","no concluyente",IF(INDEX(matriz_valor!$B$2:$J$26,MATCH($A3,matriz_valor!$A$2:$A$26,0),MATCH(O$1,matriz_valor!$B$1:$J$1,0))*$G3&lt;=$E3,"cumple","no concluyente")),IF(AND(OR($D3="",INDEX(matriz_valor!$B$2:$J$26,MATCH($A3,matriz_valor!$A$2:$A$26,0),MATCH(O$1,matriz_valor!$B$1:$J$1,0))*$G3&gt;=$D3),INDEX(matriz_valor!$B$2:$J$26,MATCH($A3,matriz_valor!$A$2:$A$26,0),MATCH(O$1,matriz_valor!$B$1:$J$1,0))*$G3&lt;=$E3),"cumple","no cumple"))))</f>
        <v/>
      </c>
      <c r="P3">
        <f>IF(ISNA(MATCH($A3,matriz_valor!$A$2:$A$26,0)),"no analizado",IF(INDEX(matriz_valor!$B$2:$J$26,MATCH($A3,matriz_valor!$A$2:$A$26,0),MATCH(P$1,matriz_valor!$B$1:$J$1,0))="","no analizado",IF(INDEX(matriz_signo!$B$2:$J$26,MATCH($A3,matriz_valor!$A$2:$A$26,0),MATCH(P$1,matriz_valor!$B$1:$J$1,0))="&lt;",IF($D3&lt;&gt;"","no concluyente",IF(INDEX(matriz_valor!$B$2:$J$26,MATCH($A3,matriz_valor!$A$2:$A$26,0),MATCH(P$1,matriz_valor!$B$1:$J$1,0))*$G3&lt;=$E3,"cumple","no concluyente")),IF(AND(OR($D3="",INDEX(matriz_valor!$B$2:$J$26,MATCH($A3,matriz_valor!$A$2:$A$26,0),MATCH(P$1,matriz_valor!$B$1:$J$1,0))*$G3&gt;=$D3),INDEX(matriz_valor!$B$2:$J$26,MATCH($A3,matriz_valor!$A$2:$A$26,0),MATCH(P$1,matriz_valor!$B$1:$J$1,0))*$G3&lt;=$E3),"cumple","no cumple"))))</f>
        <v/>
      </c>
    </row>
    <row r="4">
      <c r="A4" t="inlineStr">
        <is>
          <t>ph</t>
        </is>
      </c>
      <c r="B4" t="inlineStr">
        <is>
          <t>pH</t>
        </is>
      </c>
      <c r="C4" t="n">
        <v>1.5</v>
      </c>
      <c r="D4" t="n">
        <v>6.5</v>
      </c>
      <c r="E4" t="n">
        <v>9</v>
      </c>
      <c r="F4" t="inlineStr">
        <is>
          <t>unidades</t>
        </is>
      </c>
      <c r="G4" t="n">
        <v>1</v>
      </c>
      <c r="H4">
        <f>IF(ISNA(MATCH($A4,matriz_valor!$A$2:$A$26,0)),"no analizado",IF(INDEX(matriz_valor!$B$2:$J$26,MATCH($A4,matriz_valor!$A$2:$A$26,0),MATCH(H$1,matriz_valor!$B$1:$J$1,0))="","no analizado",IF(INDEX(matriz_signo!$B$2:$J$26,MATCH($A4,matriz_valor!$A$2:$A$26,0),MATCH(H$1,matriz_valor!$B$1:$J$1,0))="&lt;",IF($D4&lt;&gt;"","no concluyente",IF(INDEX(matriz_valor!$B$2:$J$26,MATCH($A4,matriz_valor!$A$2:$A$26,0),MATCH(H$1,matriz_valor!$B$1:$J$1,0))*$G4&lt;=$E4,"cumple","no concluyente")),IF(AND(OR($D4="",INDEX(matriz_valor!$B$2:$J$26,MATCH($A4,matriz_valor!$A$2:$A$26,0),MATCH(H$1,matriz_valor!$B$1:$J$1,0))*$G4&gt;=$D4),INDEX(matriz_valor!$B$2:$J$26,MATCH($A4,matriz_valor!$A$2:$A$26,0),MATCH(H$1,matriz_valor!$B$1:$J$1,0))*$G4&lt;=$E4),"cumple","no cumple"))))</f>
        <v/>
      </c>
      <c r="I4">
        <f>IF(ISNA(MATCH($A4,matriz_valor!$A$2:$A$26,0)),"no analizado",IF(INDEX(matriz_valor!$B$2:$J$26,MATCH($A4,matriz_valor!$A$2:$A$26,0),MATCH(I$1,matriz_valor!$B$1:$J$1,0))="","no analizado",IF(INDEX(matriz_signo!$B$2:$J$26,MATCH($A4,matriz_valor!$A$2:$A$26,0),MATCH(I$1,matriz_valor!$B$1:$J$1,0))="&lt;",IF($D4&lt;&gt;"","no concluyente",IF(INDEX(matriz_valor!$B$2:$J$26,MATCH($A4,matriz_valor!$A$2:$A$26,0),MATCH(I$1,matriz_valor!$B$1:$J$1,0))*$G4&lt;=$E4,"cumple","no concluyente")),IF(AND(OR($D4="",INDEX(matriz_valor!$B$2:$J$26,MATCH($A4,matriz_valor!$A$2:$A$26,0),MATCH(I$1,matriz_valor!$B$1:$J$1,0))*$G4&gt;=$D4),INDEX(matriz_valor!$B$2:$J$26,MATCH($A4,matriz_valor!$A$2:$A$26,0),MATCH(I$1,matriz_valor!$B$1:$J$1,0))*$G4&lt;=$E4),"cumple","no cumple"))))</f>
        <v/>
      </c>
      <c r="J4">
        <f>IF(ISNA(MATCH($A4,matriz_valor!$A$2:$A$26,0)),"no analizado",IF(INDEX(matriz_valor!$B$2:$J$26,MATCH($A4,matriz_valor!$A$2:$A$26,0),MATCH(J$1,matriz_valor!$B$1:$J$1,0))="","no analizado",IF(INDEX(matriz_signo!$B$2:$J$26,MATCH($A4,matriz_valor!$A$2:$A$26,0),MATCH(J$1,matriz_valor!$B$1:$J$1,0))="&lt;",IF($D4&lt;&gt;"","no concluyente",IF(INDEX(matriz_valor!$B$2:$J$26,MATCH($A4,matriz_valor!$A$2:$A$26,0),MATCH(J$1,matriz_valor!$B$1:$J$1,0))*$G4&lt;=$E4,"cumple","no concluyente")),IF(AND(OR($D4="",INDEX(matriz_valor!$B$2:$J$26,MATCH($A4,matriz_valor!$A$2:$A$26,0),MATCH(J$1,matriz_valor!$B$1:$J$1,0))*$G4&gt;=$D4),INDEX(matriz_valor!$B$2:$J$26,MATCH($A4,matriz_valor!$A$2:$A$26,0),MATCH(J$1,matriz_valor!$B$1:$J$1,0))*$G4&lt;=$E4),"cumple","no cumple"))))</f>
        <v/>
      </c>
      <c r="K4">
        <f>IF(ISNA(MATCH($A4,matriz_valor!$A$2:$A$26,0)),"no analizado",IF(INDEX(matriz_valor!$B$2:$J$26,MATCH($A4,matriz_valor!$A$2:$A$26,0),MATCH(K$1,matriz_valor!$B$1:$J$1,0))="","no analizado",IF(INDEX(matriz_signo!$B$2:$J$26,MATCH($A4,matriz_valor!$A$2:$A$26,0),MATCH(K$1,matriz_valor!$B$1:$J$1,0))="&lt;",IF($D4&lt;&gt;"","no concluyente",IF(INDEX(matriz_valor!$B$2:$J$26,MATCH($A4,matriz_valor!$A$2:$A$26,0),MATCH(K$1,matriz_valor!$B$1:$J$1,0))*$G4&lt;=$E4,"cumple","no concluyente")),IF(AND(OR($D4="",INDEX(matriz_valor!$B$2:$J$26,MATCH($A4,matriz_valor!$A$2:$A$26,0),MATCH(K$1,matriz_valor!$B$1:$J$1,0))*$G4&gt;=$D4),INDEX(matriz_valor!$B$2:$J$26,MATCH($A4,matriz_valor!$A$2:$A$26,0),MATCH(K$1,matriz_valor!$B$1:$J$1,0))*$G4&lt;=$E4),"cumple","no cumple"))))</f>
        <v/>
      </c>
      <c r="L4">
        <f>IF(ISNA(MATCH($A4,matriz_valor!$A$2:$A$26,0)),"no analizado",IF(INDEX(matriz_valor!$B$2:$J$26,MATCH($A4,matriz_valor!$A$2:$A$26,0),MATCH(L$1,matriz_valor!$B$1:$J$1,0))="","no analizado",IF(INDEX(matriz_signo!$B$2:$J$26,MATCH($A4,matriz_valor!$A$2:$A$26,0),MATCH(L$1,matriz_valor!$B$1:$J$1,0))="&lt;",IF($D4&lt;&gt;"","no concluyente",IF(INDEX(matriz_valor!$B$2:$J$26,MATCH($A4,matriz_valor!$A$2:$A$26,0),MATCH(L$1,matriz_valor!$B$1:$J$1,0))*$G4&lt;=$E4,"cumple","no concluyente")),IF(AND(OR($D4="",INDEX(matriz_valor!$B$2:$J$26,MATCH($A4,matriz_valor!$A$2:$A$26,0),MATCH(L$1,matriz_valor!$B$1:$J$1,0))*$G4&gt;=$D4),INDEX(matriz_valor!$B$2:$J$26,MATCH($A4,matriz_valor!$A$2:$A$26,0),MATCH(L$1,matriz_valor!$B$1:$J$1,0))*$G4&lt;=$E4),"cumple","no cumple"))))</f>
        <v/>
      </c>
      <c r="M4">
        <f>IF(ISNA(MATCH($A4,matriz_valor!$A$2:$A$26,0)),"no analizado",IF(INDEX(matriz_valor!$B$2:$J$26,MATCH($A4,matriz_valor!$A$2:$A$26,0),MATCH(M$1,matriz_valor!$B$1:$J$1,0))="","no analizado",IF(INDEX(matriz_signo!$B$2:$J$26,MATCH($A4,matriz_valor!$A$2:$A$26,0),MATCH(M$1,matriz_valor!$B$1:$J$1,0))="&lt;",IF($D4&lt;&gt;"","no concluyente",IF(INDEX(matriz_valor!$B$2:$J$26,MATCH($A4,matriz_valor!$A$2:$A$26,0),MATCH(M$1,matriz_valor!$B$1:$J$1,0))*$G4&lt;=$E4,"cumple","no concluyente")),IF(AND(OR($D4="",INDEX(matriz_valor!$B$2:$J$26,MATCH($A4,matriz_valor!$A$2:$A$26,0),MATCH(M$1,matriz_valor!$B$1:$J$1,0))*$G4&gt;=$D4),INDEX(matriz_valor!$B$2:$J$26,MATCH($A4,matriz_valor!$A$2:$A$26,0),MATCH(M$1,matriz_valor!$B$1:$J$1,0))*$G4&lt;=$E4),"cumple","no cumple"))))</f>
        <v/>
      </c>
      <c r="N4">
        <f>IF(ISNA(MATCH($A4,matriz_valor!$A$2:$A$26,0)),"no analizado",IF(INDEX(matriz_valor!$B$2:$J$26,MATCH($A4,matriz_valor!$A$2:$A$26,0),MATCH(N$1,matriz_valor!$B$1:$J$1,0))="","no analizado",IF(INDEX(matriz_signo!$B$2:$J$26,MATCH($A4,matriz_valor!$A$2:$A$26,0),MATCH(N$1,matriz_valor!$B$1:$J$1,0))="&lt;",IF($D4&lt;&gt;"","no concluyente",IF(INDEX(matriz_valor!$B$2:$J$26,MATCH($A4,matriz_valor!$A$2:$A$26,0),MATCH(N$1,matriz_valor!$B$1:$J$1,0))*$G4&lt;=$E4,"cumple","no concluyente")),IF(AND(OR($D4="",INDEX(matriz_valor!$B$2:$J$26,MATCH($A4,matriz_valor!$A$2:$A$26,0),MATCH(N$1,matriz_valor!$B$1:$J$1,0))*$G4&gt;=$D4),INDEX(matriz_valor!$B$2:$J$26,MATCH($A4,matriz_valor!$A$2:$A$26,0),MATCH(N$1,matriz_valor!$B$1:$J$1,0))*$G4&lt;=$E4),"cumple","no cumple"))))</f>
        <v/>
      </c>
      <c r="O4">
        <f>IF(ISNA(MATCH($A4,matriz_valor!$A$2:$A$26,0)),"no analizado",IF(INDEX(matriz_valor!$B$2:$J$26,MATCH($A4,matriz_valor!$A$2:$A$26,0),MATCH(O$1,matriz_valor!$B$1:$J$1,0))="","no analizado",IF(INDEX(matriz_signo!$B$2:$J$26,MATCH($A4,matriz_valor!$A$2:$A$26,0),MATCH(O$1,matriz_valor!$B$1:$J$1,0))="&lt;",IF($D4&lt;&gt;"","no concluyente",IF(INDEX(matriz_valor!$B$2:$J$26,MATCH($A4,matriz_valor!$A$2:$A$26,0),MATCH(O$1,matriz_valor!$B$1:$J$1,0))*$G4&lt;=$E4,"cumple","no concluyente")),IF(AND(OR($D4="",INDEX(matriz_valor!$B$2:$J$26,MATCH($A4,matriz_valor!$A$2:$A$26,0),MATCH(O$1,matriz_valor!$B$1:$J$1,0))*$G4&gt;=$D4),INDEX(matriz_valor!$B$2:$J$26,MATCH($A4,matriz_valor!$A$2:$A$26,0),MATCH(O$1,matriz_valor!$B$1:$J$1,0))*$G4&lt;=$E4),"cumple","no cumple"))))</f>
        <v/>
      </c>
      <c r="P4">
        <f>IF(ISNA(MATCH($A4,matriz_valor!$A$2:$A$26,0)),"no analizado",IF(INDEX(matriz_valor!$B$2:$J$26,MATCH($A4,matriz_valor!$A$2:$A$26,0),MATCH(P$1,matriz_valor!$B$1:$J$1,0))="","no analizado",IF(INDEX(matriz_signo!$B$2:$J$26,MATCH($A4,matriz_valor!$A$2:$A$26,0),MATCH(P$1,matriz_valor!$B$1:$J$1,0))="&lt;",IF($D4&lt;&gt;"","no concluyente",IF(INDEX(matriz_valor!$B$2:$J$26,MATCH($A4,matriz_valor!$A$2:$A$26,0),MATCH(P$1,matriz_valor!$B$1:$J$1,0))*$G4&lt;=$E4,"cumple","no concluyente")),IF(AND(OR($D4="",INDEX(matriz_valor!$B$2:$J$26,MATCH($A4,matriz_valor!$A$2:$A$26,0),MATCH(P$1,matriz_valor!$B$1:$J$1,0))*$G4&gt;=$D4),INDEX(matriz_valor!$B$2:$J$26,MATCH($A4,matriz_valor!$A$2:$A$26,0),MATCH(P$1,matriz_valor!$B$1:$J$1,0))*$G4&lt;=$E4),"cumple","no cumple"))))</f>
        <v/>
      </c>
    </row>
    <row r="5">
      <c r="A5" t="inlineStr">
        <is>
          <t>cloro_libre</t>
        </is>
      </c>
      <c r="B5" t="inlineStr">
        <is>
          <t>Cloro residual libre</t>
        </is>
      </c>
      <c r="C5" t="n">
        <v>15</v>
      </c>
      <c r="D5" t="n">
        <v>0.3</v>
      </c>
      <c r="E5" t="n">
        <v>2</v>
      </c>
      <c r="F5" t="inlineStr">
        <is>
          <t>mg/L Cl2</t>
        </is>
      </c>
      <c r="G5" t="n">
        <v>1</v>
      </c>
      <c r="H5">
        <f>IF(ISNA(MATCH($A5,matriz_valor!$A$2:$A$26,0)),"no analizado",IF(INDEX(matriz_valor!$B$2:$J$26,MATCH($A5,matriz_valor!$A$2:$A$26,0),MATCH(H$1,matriz_valor!$B$1:$J$1,0))="","no analizado",IF(INDEX(matriz_signo!$B$2:$J$26,MATCH($A5,matriz_valor!$A$2:$A$26,0),MATCH(H$1,matriz_valor!$B$1:$J$1,0))="&lt;",IF($D5&lt;&gt;"","no concluyente",IF(INDEX(matriz_valor!$B$2:$J$26,MATCH($A5,matriz_valor!$A$2:$A$26,0),MATCH(H$1,matriz_valor!$B$1:$J$1,0))*$G5&lt;=$E5,"cumple","no concluyente")),IF(AND(OR($D5="",INDEX(matriz_valor!$B$2:$J$26,MATCH($A5,matriz_valor!$A$2:$A$26,0),MATCH(H$1,matriz_valor!$B$1:$J$1,0))*$G5&gt;=$D5),INDEX(matriz_valor!$B$2:$J$26,MATCH($A5,matriz_valor!$A$2:$A$26,0),MATCH(H$1,matriz_valor!$B$1:$J$1,0))*$G5&lt;=$E5),"cumple","no cumple"))))</f>
        <v/>
      </c>
      <c r="I5">
        <f>IF(ISNA(MATCH($A5,matriz_valor!$A$2:$A$26,0)),"no analizado",IF(INDEX(matriz_valor!$B$2:$J$26,MATCH($A5,matriz_valor!$A$2:$A$26,0),MATCH(I$1,matriz_valor!$B$1:$J$1,0))="","no analizado",IF(INDEX(matriz_signo!$B$2:$J$26,MATCH($A5,matriz_valor!$A$2:$A$26,0),MATCH(I$1,matriz_valor!$B$1:$J$1,0))="&lt;",IF($D5&lt;&gt;"","no concluyente",IF(INDEX(matriz_valor!$B$2:$J$26,MATCH($A5,matriz_valor!$A$2:$A$26,0),MATCH(I$1,matriz_valor!$B$1:$J$1,0))*$G5&lt;=$E5,"cumple","no concluyente")),IF(AND(OR($D5="",INDEX(matriz_valor!$B$2:$J$26,MATCH($A5,matriz_valor!$A$2:$A$26,0),MATCH(I$1,matriz_valor!$B$1:$J$1,0))*$G5&gt;=$D5),INDEX(matriz_valor!$B$2:$J$26,MATCH($A5,matriz_valor!$A$2:$A$26,0),MATCH(I$1,matriz_valor!$B$1:$J$1,0))*$G5&lt;=$E5),"cumple","no cumple"))))</f>
        <v/>
      </c>
      <c r="J5">
        <f>IF(ISNA(MATCH($A5,matriz_valor!$A$2:$A$26,0)),"no analizado",IF(INDEX(matriz_valor!$B$2:$J$26,MATCH($A5,matriz_valor!$A$2:$A$26,0),MATCH(J$1,matriz_valor!$B$1:$J$1,0))="","no analizado",IF(INDEX(matriz_signo!$B$2:$J$26,MATCH($A5,matriz_valor!$A$2:$A$26,0),MATCH(J$1,matriz_valor!$B$1:$J$1,0))="&lt;",IF($D5&lt;&gt;"","no concluyente",IF(INDEX(matriz_valor!$B$2:$J$26,MATCH($A5,matriz_valor!$A$2:$A$26,0),MATCH(J$1,matriz_valor!$B$1:$J$1,0))*$G5&lt;=$E5,"cumple","no concluyente")),IF(AND(OR($D5="",INDEX(matriz_valor!$B$2:$J$26,MATCH($A5,matriz_valor!$A$2:$A$26,0),MATCH(J$1,matriz_valor!$B$1:$J$1,0))*$G5&gt;=$D5),INDEX(matriz_valor!$B$2:$J$26,MATCH($A5,matriz_valor!$A$2:$A$26,0),MATCH(J$1,matriz_valor!$B$1:$J$1,0))*$G5&lt;=$E5),"cumple","no cumple"))))</f>
        <v/>
      </c>
      <c r="K5">
        <f>IF(ISNA(MATCH($A5,matriz_valor!$A$2:$A$26,0)),"no analizado",IF(INDEX(matriz_valor!$B$2:$J$26,MATCH($A5,matriz_valor!$A$2:$A$26,0),MATCH(K$1,matriz_valor!$B$1:$J$1,0))="","no analizado",IF(INDEX(matriz_signo!$B$2:$J$26,MATCH($A5,matriz_valor!$A$2:$A$26,0),MATCH(K$1,matriz_valor!$B$1:$J$1,0))="&lt;",IF($D5&lt;&gt;"","no concluyente",IF(INDEX(matriz_valor!$B$2:$J$26,MATCH($A5,matriz_valor!$A$2:$A$26,0),MATCH(K$1,matriz_valor!$B$1:$J$1,0))*$G5&lt;=$E5,"cumple","no concluyente")),IF(AND(OR($D5="",INDEX(matriz_valor!$B$2:$J$26,MATCH($A5,matriz_valor!$A$2:$A$26,0),MATCH(K$1,matriz_valor!$B$1:$J$1,0))*$G5&gt;=$D5),INDEX(matriz_valor!$B$2:$J$26,MATCH($A5,matriz_valor!$A$2:$A$26,0),MATCH(K$1,matriz_valor!$B$1:$J$1,0))*$G5&lt;=$E5),"cumple","no cumple"))))</f>
        <v/>
      </c>
      <c r="L5">
        <f>IF(ISNA(MATCH($A5,matriz_valor!$A$2:$A$26,0)),"no analizado",IF(INDEX(matriz_valor!$B$2:$J$26,MATCH($A5,matriz_valor!$A$2:$A$26,0),MATCH(L$1,matriz_valor!$B$1:$J$1,0))="","no analizado",IF(INDEX(matriz_signo!$B$2:$J$26,MATCH($A5,matriz_valor!$A$2:$A$26,0),MATCH(L$1,matriz_valor!$B$1:$J$1,0))="&lt;",IF($D5&lt;&gt;"","no concluyente",IF(INDEX(matriz_valor!$B$2:$J$26,MATCH($A5,matriz_valor!$A$2:$A$26,0),MATCH(L$1,matriz_valor!$B$1:$J$1,0))*$G5&lt;=$E5,"cumple","no concluyente")),IF(AND(OR($D5="",INDEX(matriz_valor!$B$2:$J$26,MATCH($A5,matriz_valor!$A$2:$A$26,0),MATCH(L$1,matriz_valor!$B$1:$J$1,0))*$G5&gt;=$D5),INDEX(matriz_valor!$B$2:$J$26,MATCH($A5,matriz_valor!$A$2:$A$26,0),MATCH(L$1,matriz_valor!$B$1:$J$1,0))*$G5&lt;=$E5),"cumple","no cumple"))))</f>
        <v/>
      </c>
      <c r="M5">
        <f>IF(ISNA(MATCH($A5,matriz_valor!$A$2:$A$26,0)),"no analizado",IF(INDEX(matriz_valor!$B$2:$J$26,MATCH($A5,matriz_valor!$A$2:$A$26,0),MATCH(M$1,matriz_valor!$B$1:$J$1,0))="","no analizado",IF(INDEX(matriz_signo!$B$2:$J$26,MATCH($A5,matriz_valor!$A$2:$A$26,0),MATCH(M$1,matriz_valor!$B$1:$J$1,0))="&lt;",IF($D5&lt;&gt;"","no concluyente",IF(INDEX(matriz_valor!$B$2:$J$26,MATCH($A5,matriz_valor!$A$2:$A$26,0),MATCH(M$1,matriz_valor!$B$1:$J$1,0))*$G5&lt;=$E5,"cumple","no concluyente")),IF(AND(OR($D5="",INDEX(matriz_valor!$B$2:$J$26,MATCH($A5,matriz_valor!$A$2:$A$26,0),MATCH(M$1,matriz_valor!$B$1:$J$1,0))*$G5&gt;=$D5),INDEX(matriz_valor!$B$2:$J$26,MATCH($A5,matriz_valor!$A$2:$A$26,0),MATCH(M$1,matriz_valor!$B$1:$J$1,0))*$G5&lt;=$E5),"cumple","no cumple"))))</f>
        <v/>
      </c>
      <c r="N5">
        <f>IF(ISNA(MATCH($A5,matriz_valor!$A$2:$A$26,0)),"no analizado",IF(INDEX(matriz_valor!$B$2:$J$26,MATCH($A5,matriz_valor!$A$2:$A$26,0),MATCH(N$1,matriz_valor!$B$1:$J$1,0))="","no analizado",IF(INDEX(matriz_signo!$B$2:$J$26,MATCH($A5,matriz_valor!$A$2:$A$26,0),MATCH(N$1,matriz_valor!$B$1:$J$1,0))="&lt;",IF($D5&lt;&gt;"","no concluyente",IF(INDEX(matriz_valor!$B$2:$J$26,MATCH($A5,matriz_valor!$A$2:$A$26,0),MATCH(N$1,matriz_valor!$B$1:$J$1,0))*$G5&lt;=$E5,"cumple","no concluyente")),IF(AND(OR($D5="",INDEX(matriz_valor!$B$2:$J$26,MATCH($A5,matriz_valor!$A$2:$A$26,0),MATCH(N$1,matriz_valor!$B$1:$J$1,0))*$G5&gt;=$D5),INDEX(matriz_valor!$B$2:$J$26,MATCH($A5,matriz_valor!$A$2:$A$26,0),MATCH(N$1,matriz_valor!$B$1:$J$1,0))*$G5&lt;=$E5),"cumple","no cumple"))))</f>
        <v/>
      </c>
      <c r="O5">
        <f>IF(ISNA(MATCH($A5,matriz_valor!$A$2:$A$26,0)),"no analizado",IF(INDEX(matriz_valor!$B$2:$J$26,MATCH($A5,matriz_valor!$A$2:$A$26,0),MATCH(O$1,matriz_valor!$B$1:$J$1,0))="","no analizado",IF(INDEX(matriz_signo!$B$2:$J$26,MATCH($A5,matriz_valor!$A$2:$A$26,0),MATCH(O$1,matriz_valor!$B$1:$J$1,0))="&lt;",IF($D5&lt;&gt;"","no concluyente",IF(INDEX(matriz_valor!$B$2:$J$26,MATCH($A5,matriz_valor!$A$2:$A$26,0),MATCH(O$1,matriz_valor!$B$1:$J$1,0))*$G5&lt;=$E5,"cumple","no concluyente")),IF(AND(OR($D5="",INDEX(matriz_valor!$B$2:$J$26,MATCH($A5,matriz_valor!$A$2:$A$26,0),MATCH(O$1,matriz_valor!$B$1:$J$1,0))*$G5&gt;=$D5),INDEX(matriz_valor!$B$2:$J$26,MATCH($A5,matriz_valor!$A$2:$A$26,0),MATCH(O$1,matriz_valor!$B$1:$J$1,0))*$G5&lt;=$E5),"cumple","no cumple"))))</f>
        <v/>
      </c>
      <c r="P5">
        <f>IF(ISNA(MATCH($A5,matriz_valor!$A$2:$A$26,0)),"no analizado",IF(INDEX(matriz_valor!$B$2:$J$26,MATCH($A5,matriz_valor!$A$2:$A$26,0),MATCH(P$1,matriz_valor!$B$1:$J$1,0))="","no analizado",IF(INDEX(matriz_signo!$B$2:$J$26,MATCH($A5,matriz_valor!$A$2:$A$26,0),MATCH(P$1,matriz_valor!$B$1:$J$1,0))="&lt;",IF($D5&lt;&gt;"","no concluyente",IF(INDEX(matriz_valor!$B$2:$J$26,MATCH($A5,matriz_valor!$A$2:$A$26,0),MATCH(P$1,matriz_valor!$B$1:$J$1,0))*$G5&lt;=$E5,"cumple","no concluyente")),IF(AND(OR($D5="",INDEX(matriz_valor!$B$2:$J$26,MATCH($A5,matriz_valor!$A$2:$A$26,0),MATCH(P$1,matriz_valor!$B$1:$J$1,0))*$G5&gt;=$D5),INDEX(matriz_valor!$B$2:$J$26,MATCH($A5,matriz_valor!$A$2:$A$26,0),MATCH(P$1,matriz_valor!$B$1:$J$1,0))*$G5&lt;=$E5),"cumple","no cumple"))))</f>
        <v/>
      </c>
    </row>
    <row r="6">
      <c r="A6" t="inlineStr">
        <is>
          <t>alcalinidad</t>
        </is>
      </c>
      <c r="B6" t="inlineStr">
        <is>
          <t>Alcalinidad total</t>
        </is>
      </c>
      <c r="C6" t="n">
        <v>1</v>
      </c>
      <c r="E6" t="n">
        <v>200</v>
      </c>
      <c r="F6" t="inlineStr">
        <is>
          <t>mg/L CaCO3</t>
        </is>
      </c>
      <c r="G6" t="n">
        <v>1</v>
      </c>
      <c r="H6">
        <f>IF(ISNA(MATCH($A6,matriz_valor!$A$2:$A$26,0)),"no analizado",IF(INDEX(matriz_valor!$B$2:$J$26,MATCH($A6,matriz_valor!$A$2:$A$26,0),MATCH(H$1,matriz_valor!$B$1:$J$1,0))="","no analizado",IF(INDEX(matriz_signo!$B$2:$J$26,MATCH($A6,matriz_valor!$A$2:$A$26,0),MATCH(H$1,matriz_valor!$B$1:$J$1,0))="&lt;",IF($D6&lt;&gt;"","no concluyente",IF(INDEX(matriz_valor!$B$2:$J$26,MATCH($A6,matriz_valor!$A$2:$A$26,0),MATCH(H$1,matriz_valor!$B$1:$J$1,0))*$G6&lt;=$E6,"cumple","no concluyente")),IF(AND(OR($D6="",INDEX(matriz_valor!$B$2:$J$26,MATCH($A6,matriz_valor!$A$2:$A$26,0),MATCH(H$1,matriz_valor!$B$1:$J$1,0))*$G6&gt;=$D6),INDEX(matriz_valor!$B$2:$J$26,MATCH($A6,matriz_valor!$A$2:$A$26,0),MATCH(H$1,matriz_valor!$B$1:$J$1,0))*$G6&lt;=$E6),"cumple","no cumple"))))</f>
        <v/>
      </c>
      <c r="I6">
        <f>IF(ISNA(MATCH($A6,matriz_valor!$A$2:$A$26,0)),"no analizado",IF(INDEX(matriz_valor!$B$2:$J$26,MATCH($A6,matriz_valor!$A$2:$A$26,0),MATCH(I$1,matriz_valor!$B$1:$J$1,0))="","no analizado",IF(INDEX(matriz_signo!$B$2:$J$26,MATCH($A6,matriz_valor!$A$2:$A$26,0),MATCH(I$1,matriz_valor!$B$1:$J$1,0))="&lt;",IF($D6&lt;&gt;"","no concluyente",IF(INDEX(matriz_valor!$B$2:$J$26,MATCH($A6,matriz_valor!$A$2:$A$26,0),MATCH(I$1,matriz_valor!$B$1:$J$1,0))*$G6&lt;=$E6,"cumple","no concluyente")),IF(AND(OR($D6="",INDEX(matriz_valor!$B$2:$J$26,MATCH($A6,matriz_valor!$A$2:$A$26,0),MATCH(I$1,matriz_valor!$B$1:$J$1,0))*$G6&gt;=$D6),INDEX(matriz_valor!$B$2:$J$26,MATCH($A6,matriz_valor!$A$2:$A$26,0),MATCH(I$1,matriz_valor!$B$1:$J$1,0))*$G6&lt;=$E6),"cumple","no cumple"))))</f>
        <v/>
      </c>
      <c r="J6">
        <f>IF(ISNA(MATCH($A6,matriz_valor!$A$2:$A$26,0)),"no analizado",IF(INDEX(matriz_valor!$B$2:$J$26,MATCH($A6,matriz_valor!$A$2:$A$26,0),MATCH(J$1,matriz_valor!$B$1:$J$1,0))="","no analizado",IF(INDEX(matriz_signo!$B$2:$J$26,MATCH($A6,matriz_valor!$A$2:$A$26,0),MATCH(J$1,matriz_valor!$B$1:$J$1,0))="&lt;",IF($D6&lt;&gt;"","no concluyente",IF(INDEX(matriz_valor!$B$2:$J$26,MATCH($A6,matriz_valor!$A$2:$A$26,0),MATCH(J$1,matriz_valor!$B$1:$J$1,0))*$G6&lt;=$E6,"cumple","no concluyente")),IF(AND(OR($D6="",INDEX(matriz_valor!$B$2:$J$26,MATCH($A6,matriz_valor!$A$2:$A$26,0),MATCH(J$1,matriz_valor!$B$1:$J$1,0))*$G6&gt;=$D6),INDEX(matriz_valor!$B$2:$J$26,MATCH($A6,matriz_valor!$A$2:$A$26,0),MATCH(J$1,matriz_valor!$B$1:$J$1,0))*$G6&lt;=$E6),"cumple","no cumple"))))</f>
        <v/>
      </c>
      <c r="K6">
        <f>IF(ISNA(MATCH($A6,matriz_valor!$A$2:$A$26,0)),"no analizado",IF(INDEX(matriz_valor!$B$2:$J$26,MATCH($A6,matriz_valor!$A$2:$A$26,0),MATCH(K$1,matriz_valor!$B$1:$J$1,0))="","no analizado",IF(INDEX(matriz_signo!$B$2:$J$26,MATCH($A6,matriz_valor!$A$2:$A$26,0),MATCH(K$1,matriz_valor!$B$1:$J$1,0))="&lt;",IF($D6&lt;&gt;"","no concluyente",IF(INDEX(matriz_valor!$B$2:$J$26,MATCH($A6,matriz_valor!$A$2:$A$26,0),MATCH(K$1,matriz_valor!$B$1:$J$1,0))*$G6&lt;=$E6,"cumple","no concluyente")),IF(AND(OR($D6="",INDEX(matriz_valor!$B$2:$J$26,MATCH($A6,matriz_valor!$A$2:$A$26,0),MATCH(K$1,matriz_valor!$B$1:$J$1,0))*$G6&gt;=$D6),INDEX(matriz_valor!$B$2:$J$26,MATCH($A6,matriz_valor!$A$2:$A$26,0),MATCH(K$1,matriz_valor!$B$1:$J$1,0))*$G6&lt;=$E6),"cumple","no cumple"))))</f>
        <v/>
      </c>
      <c r="L6">
        <f>IF(ISNA(MATCH($A6,matriz_valor!$A$2:$A$26,0)),"no analizado",IF(INDEX(matriz_valor!$B$2:$J$26,MATCH($A6,matriz_valor!$A$2:$A$26,0),MATCH(L$1,matriz_valor!$B$1:$J$1,0))="","no analizado",IF(INDEX(matriz_signo!$B$2:$J$26,MATCH($A6,matriz_valor!$A$2:$A$26,0),MATCH(L$1,matriz_valor!$B$1:$J$1,0))="&lt;",IF($D6&lt;&gt;"","no concluyente",IF(INDEX(matriz_valor!$B$2:$J$26,MATCH($A6,matriz_valor!$A$2:$A$26,0),MATCH(L$1,matriz_valor!$B$1:$J$1,0))*$G6&lt;=$E6,"cumple","no concluyente")),IF(AND(OR($D6="",INDEX(matriz_valor!$B$2:$J$26,MATCH($A6,matriz_valor!$A$2:$A$26,0),MATCH(L$1,matriz_valor!$B$1:$J$1,0))*$G6&gt;=$D6),INDEX(matriz_valor!$B$2:$J$26,MATCH($A6,matriz_valor!$A$2:$A$26,0),MATCH(L$1,matriz_valor!$B$1:$J$1,0))*$G6&lt;=$E6),"cumple","no cumple"))))</f>
        <v/>
      </c>
      <c r="M6">
        <f>IF(ISNA(MATCH($A6,matriz_valor!$A$2:$A$26,0)),"no analizado",IF(INDEX(matriz_valor!$B$2:$J$26,MATCH($A6,matriz_valor!$A$2:$A$26,0),MATCH(M$1,matriz_valor!$B$1:$J$1,0))="","no analizado",IF(INDEX(matriz_signo!$B$2:$J$26,MATCH($A6,matriz_valor!$A$2:$A$26,0),MATCH(M$1,matriz_valor!$B$1:$J$1,0))="&lt;",IF($D6&lt;&gt;"","no concluyente",IF(INDEX(matriz_valor!$B$2:$J$26,MATCH($A6,matriz_valor!$A$2:$A$26,0),MATCH(M$1,matriz_valor!$B$1:$J$1,0))*$G6&lt;=$E6,"cumple","no concluyente")),IF(AND(OR($D6="",INDEX(matriz_valor!$B$2:$J$26,MATCH($A6,matriz_valor!$A$2:$A$26,0),MATCH(M$1,matriz_valor!$B$1:$J$1,0))*$G6&gt;=$D6),INDEX(matriz_valor!$B$2:$J$26,MATCH($A6,matriz_valor!$A$2:$A$26,0),MATCH(M$1,matriz_valor!$B$1:$J$1,0))*$G6&lt;=$E6),"cumple","no cumple"))))</f>
        <v/>
      </c>
      <c r="N6">
        <f>IF(ISNA(MATCH($A6,matriz_valor!$A$2:$A$26,0)),"no analizado",IF(INDEX(matriz_valor!$B$2:$J$26,MATCH($A6,matriz_valor!$A$2:$A$26,0),MATCH(N$1,matriz_valor!$B$1:$J$1,0))="","no analizado",IF(INDEX(matriz_signo!$B$2:$J$26,MATCH($A6,matriz_valor!$A$2:$A$26,0),MATCH(N$1,matriz_valor!$B$1:$J$1,0))="&lt;",IF($D6&lt;&gt;"","no concluyente",IF(INDEX(matriz_valor!$B$2:$J$26,MATCH($A6,matriz_valor!$A$2:$A$26,0),MATCH(N$1,matriz_valor!$B$1:$J$1,0))*$G6&lt;=$E6,"cumple","no concluyente")),IF(AND(OR($D6="",INDEX(matriz_valor!$B$2:$J$26,MATCH($A6,matriz_valor!$A$2:$A$26,0),MATCH(N$1,matriz_valor!$B$1:$J$1,0))*$G6&gt;=$D6),INDEX(matriz_valor!$B$2:$J$26,MATCH($A6,matriz_valor!$A$2:$A$26,0),MATCH(N$1,matriz_valor!$B$1:$J$1,0))*$G6&lt;=$E6),"cumple","no cumple"))))</f>
        <v/>
      </c>
      <c r="O6">
        <f>IF(ISNA(MATCH($A6,matriz_valor!$A$2:$A$26,0)),"no analizado",IF(INDEX(matriz_valor!$B$2:$J$26,MATCH($A6,matriz_valor!$A$2:$A$26,0),MATCH(O$1,matriz_valor!$B$1:$J$1,0))="","no analizado",IF(INDEX(matriz_signo!$B$2:$J$26,MATCH($A6,matriz_valor!$A$2:$A$26,0),MATCH(O$1,matriz_valor!$B$1:$J$1,0))="&lt;",IF($D6&lt;&gt;"","no concluyente",IF(INDEX(matriz_valor!$B$2:$J$26,MATCH($A6,matriz_valor!$A$2:$A$26,0),MATCH(O$1,matriz_valor!$B$1:$J$1,0))*$G6&lt;=$E6,"cumple","no concluyente")),IF(AND(OR($D6="",INDEX(matriz_valor!$B$2:$J$26,MATCH($A6,matriz_valor!$A$2:$A$26,0),MATCH(O$1,matriz_valor!$B$1:$J$1,0))*$G6&gt;=$D6),INDEX(matriz_valor!$B$2:$J$26,MATCH($A6,matriz_valor!$A$2:$A$26,0),MATCH(O$1,matriz_valor!$B$1:$J$1,0))*$G6&lt;=$E6),"cumple","no cumple"))))</f>
        <v/>
      </c>
      <c r="P6">
        <f>IF(ISNA(MATCH($A6,matriz_valor!$A$2:$A$26,0)),"no analizado",IF(INDEX(matriz_valor!$B$2:$J$26,MATCH($A6,matriz_valor!$A$2:$A$26,0),MATCH(P$1,matriz_valor!$B$1:$J$1,0))="","no analizado",IF(INDEX(matriz_signo!$B$2:$J$26,MATCH($A6,matriz_valor!$A$2:$A$26,0),MATCH(P$1,matriz_valor!$B$1:$J$1,0))="&lt;",IF($D6&lt;&gt;"","no concluyente",IF(INDEX(matriz_valor!$B$2:$J$26,MATCH($A6,matriz_valor!$A$2:$A$26,0),MATCH(P$1,matriz_valor!$B$1:$J$1,0))*$G6&lt;=$E6,"cumple","no concluyente")),IF(AND(OR($D6="",INDEX(matriz_valor!$B$2:$J$26,MATCH($A6,matriz_valor!$A$2:$A$26,0),MATCH(P$1,matriz_valor!$B$1:$J$1,0))*$G6&gt;=$D6),INDEX(matriz_valor!$B$2:$J$26,MATCH($A6,matriz_valor!$A$2:$A$26,0),MATCH(P$1,matriz_valor!$B$1:$J$1,0))*$G6&lt;=$E6),"cumple","no cumple"))))</f>
        <v/>
      </c>
    </row>
    <row r="7">
      <c r="A7" t="inlineStr">
        <is>
          <t>calcio</t>
        </is>
      </c>
      <c r="B7" t="inlineStr">
        <is>
          <t>Calcio</t>
        </is>
      </c>
      <c r="C7" t="n">
        <v>1</v>
      </c>
      <c r="E7" t="n">
        <v>60</v>
      </c>
      <c r="F7" t="inlineStr">
        <is>
          <t>mg/L Ca</t>
        </is>
      </c>
      <c r="G7" t="n">
        <v>1</v>
      </c>
      <c r="H7">
        <f>IF(ISNA(MATCH($A7,matriz_valor!$A$2:$A$26,0)),"no analizado",IF(INDEX(matriz_valor!$B$2:$J$26,MATCH($A7,matriz_valor!$A$2:$A$26,0),MATCH(H$1,matriz_valor!$B$1:$J$1,0))="","no analizado",IF(INDEX(matriz_signo!$B$2:$J$26,MATCH($A7,matriz_valor!$A$2:$A$26,0),MATCH(H$1,matriz_valor!$B$1:$J$1,0))="&lt;",IF($D7&lt;&gt;"","no concluyente",IF(INDEX(matriz_valor!$B$2:$J$26,MATCH($A7,matriz_valor!$A$2:$A$26,0),MATCH(H$1,matriz_valor!$B$1:$J$1,0))*$G7&lt;=$E7,"cumple","no concluyente")),IF(AND(OR($D7="",INDEX(matriz_valor!$B$2:$J$26,MATCH($A7,matriz_valor!$A$2:$A$26,0),MATCH(H$1,matriz_valor!$B$1:$J$1,0))*$G7&gt;=$D7),INDEX(matriz_valor!$B$2:$J$26,MATCH($A7,matriz_valor!$A$2:$A$26,0),MATCH(H$1,matriz_valor!$B$1:$J$1,0))*$G7&lt;=$E7),"cumple","no cumple"))))</f>
        <v/>
      </c>
      <c r="I7">
        <f>IF(ISNA(MATCH($A7,matriz_valor!$A$2:$A$26,0)),"no analizado",IF(INDEX(matriz_valor!$B$2:$J$26,MATCH($A7,matriz_valor!$A$2:$A$26,0),MATCH(I$1,matriz_valor!$B$1:$J$1,0))="","no analizado",IF(INDEX(matriz_signo!$B$2:$J$26,MATCH($A7,matriz_valor!$A$2:$A$26,0),MATCH(I$1,matriz_valor!$B$1:$J$1,0))="&lt;",IF($D7&lt;&gt;"","no concluyente",IF(INDEX(matriz_valor!$B$2:$J$26,MATCH($A7,matriz_valor!$A$2:$A$26,0),MATCH(I$1,matriz_valor!$B$1:$J$1,0))*$G7&lt;=$E7,"cumple","no concluyente")),IF(AND(OR($D7="",INDEX(matriz_valor!$B$2:$J$26,MATCH($A7,matriz_valor!$A$2:$A$26,0),MATCH(I$1,matriz_valor!$B$1:$J$1,0))*$G7&gt;=$D7),INDEX(matriz_valor!$B$2:$J$26,MATCH($A7,matriz_valor!$A$2:$A$26,0),MATCH(I$1,matriz_valor!$B$1:$J$1,0))*$G7&lt;=$E7),"cumple","no cumple"))))</f>
        <v/>
      </c>
      <c r="J7">
        <f>IF(ISNA(MATCH($A7,matriz_valor!$A$2:$A$26,0)),"no analizado",IF(INDEX(matriz_valor!$B$2:$J$26,MATCH($A7,matriz_valor!$A$2:$A$26,0),MATCH(J$1,matriz_valor!$B$1:$J$1,0))="","no analizado",IF(INDEX(matriz_signo!$B$2:$J$26,MATCH($A7,matriz_valor!$A$2:$A$26,0),MATCH(J$1,matriz_valor!$B$1:$J$1,0))="&lt;",IF($D7&lt;&gt;"","no concluyente",IF(INDEX(matriz_valor!$B$2:$J$26,MATCH($A7,matriz_valor!$A$2:$A$26,0),MATCH(J$1,matriz_valor!$B$1:$J$1,0))*$G7&lt;=$E7,"cumple","no concluyente")),IF(AND(OR($D7="",INDEX(matriz_valor!$B$2:$J$26,MATCH($A7,matriz_valor!$A$2:$A$26,0),MATCH(J$1,matriz_valor!$B$1:$J$1,0))*$G7&gt;=$D7),INDEX(matriz_valor!$B$2:$J$26,MATCH($A7,matriz_valor!$A$2:$A$26,0),MATCH(J$1,matriz_valor!$B$1:$J$1,0))*$G7&lt;=$E7),"cumple","no cumple"))))</f>
        <v/>
      </c>
      <c r="K7">
        <f>IF(ISNA(MATCH($A7,matriz_valor!$A$2:$A$26,0)),"no analizado",IF(INDEX(matriz_valor!$B$2:$J$26,MATCH($A7,matriz_valor!$A$2:$A$26,0),MATCH(K$1,matriz_valor!$B$1:$J$1,0))="","no analizado",IF(INDEX(matriz_signo!$B$2:$J$26,MATCH($A7,matriz_valor!$A$2:$A$26,0),MATCH(K$1,matriz_valor!$B$1:$J$1,0))="&lt;",IF($D7&lt;&gt;"","no concluyente",IF(INDEX(matriz_valor!$B$2:$J$26,MATCH($A7,matriz_valor!$A$2:$A$26,0),MATCH(K$1,matriz_valor!$B$1:$J$1,0))*$G7&lt;=$E7,"cumple","no concluyente")),IF(AND(OR($D7="",INDEX(matriz_valor!$B$2:$J$26,MATCH($A7,matriz_valor!$A$2:$A$26,0),MATCH(K$1,matriz_valor!$B$1:$J$1,0))*$G7&gt;=$D7),INDEX(matriz_valor!$B$2:$J$26,MATCH($A7,matriz_valor!$A$2:$A$26,0),MATCH(K$1,matriz_valor!$B$1:$J$1,0))*$G7&lt;=$E7),"cumple","no cumple"))))</f>
        <v/>
      </c>
      <c r="L7">
        <f>IF(ISNA(MATCH($A7,matriz_valor!$A$2:$A$26,0)),"no analizado",IF(INDEX(matriz_valor!$B$2:$J$26,MATCH($A7,matriz_valor!$A$2:$A$26,0),MATCH(L$1,matriz_valor!$B$1:$J$1,0))="","no analizado",IF(INDEX(matriz_signo!$B$2:$J$26,MATCH($A7,matriz_valor!$A$2:$A$26,0),MATCH(L$1,matriz_valor!$B$1:$J$1,0))="&lt;",IF($D7&lt;&gt;"","no concluyente",IF(INDEX(matriz_valor!$B$2:$J$26,MATCH($A7,matriz_valor!$A$2:$A$26,0),MATCH(L$1,matriz_valor!$B$1:$J$1,0))*$G7&lt;=$E7,"cumple","no concluyente")),IF(AND(OR($D7="",INDEX(matriz_valor!$B$2:$J$26,MATCH($A7,matriz_valor!$A$2:$A$26,0),MATCH(L$1,matriz_valor!$B$1:$J$1,0))*$G7&gt;=$D7),INDEX(matriz_valor!$B$2:$J$26,MATCH($A7,matriz_valor!$A$2:$A$26,0),MATCH(L$1,matriz_valor!$B$1:$J$1,0))*$G7&lt;=$E7),"cumple","no cumple"))))</f>
        <v/>
      </c>
      <c r="M7">
        <f>IF(ISNA(MATCH($A7,matriz_valor!$A$2:$A$26,0)),"no analizado",IF(INDEX(matriz_valor!$B$2:$J$26,MATCH($A7,matriz_valor!$A$2:$A$26,0),MATCH(M$1,matriz_valor!$B$1:$J$1,0))="","no analizado",IF(INDEX(matriz_signo!$B$2:$J$26,MATCH($A7,matriz_valor!$A$2:$A$26,0),MATCH(M$1,matriz_valor!$B$1:$J$1,0))="&lt;",IF($D7&lt;&gt;"","no concluyente",IF(INDEX(matriz_valor!$B$2:$J$26,MATCH($A7,matriz_valor!$A$2:$A$26,0),MATCH(M$1,matriz_valor!$B$1:$J$1,0))*$G7&lt;=$E7,"cumple","no concluyente")),IF(AND(OR($D7="",INDEX(matriz_valor!$B$2:$J$26,MATCH($A7,matriz_valor!$A$2:$A$26,0),MATCH(M$1,matriz_valor!$B$1:$J$1,0))*$G7&gt;=$D7),INDEX(matriz_valor!$B$2:$J$26,MATCH($A7,matriz_valor!$A$2:$A$26,0),MATCH(M$1,matriz_valor!$B$1:$J$1,0))*$G7&lt;=$E7),"cumple","no cumple"))))</f>
        <v/>
      </c>
      <c r="N7">
        <f>IF(ISNA(MATCH($A7,matriz_valor!$A$2:$A$26,0)),"no analizado",IF(INDEX(matriz_valor!$B$2:$J$26,MATCH($A7,matriz_valor!$A$2:$A$26,0),MATCH(N$1,matriz_valor!$B$1:$J$1,0))="","no analizado",IF(INDEX(matriz_signo!$B$2:$J$26,MATCH($A7,matriz_valor!$A$2:$A$26,0),MATCH(N$1,matriz_valor!$B$1:$J$1,0))="&lt;",IF($D7&lt;&gt;"","no concluyente",IF(INDEX(matriz_valor!$B$2:$J$26,MATCH($A7,matriz_valor!$A$2:$A$26,0),MATCH(N$1,matriz_valor!$B$1:$J$1,0))*$G7&lt;=$E7,"cumple","no concluyente")),IF(AND(OR($D7="",INDEX(matriz_valor!$B$2:$J$26,MATCH($A7,matriz_valor!$A$2:$A$26,0),MATCH(N$1,matriz_valor!$B$1:$J$1,0))*$G7&gt;=$D7),INDEX(matriz_valor!$B$2:$J$26,MATCH($A7,matriz_valor!$A$2:$A$26,0),MATCH(N$1,matriz_valor!$B$1:$J$1,0))*$G7&lt;=$E7),"cumple","no cumple"))))</f>
        <v/>
      </c>
      <c r="O7">
        <f>IF(ISNA(MATCH($A7,matriz_valor!$A$2:$A$26,0)),"no analizado",IF(INDEX(matriz_valor!$B$2:$J$26,MATCH($A7,matriz_valor!$A$2:$A$26,0),MATCH(O$1,matriz_valor!$B$1:$J$1,0))="","no analizado",IF(INDEX(matriz_signo!$B$2:$J$26,MATCH($A7,matriz_valor!$A$2:$A$26,0),MATCH(O$1,matriz_valor!$B$1:$J$1,0))="&lt;",IF($D7&lt;&gt;"","no concluyente",IF(INDEX(matriz_valor!$B$2:$J$26,MATCH($A7,matriz_valor!$A$2:$A$26,0),MATCH(O$1,matriz_valor!$B$1:$J$1,0))*$G7&lt;=$E7,"cumple","no concluyente")),IF(AND(OR($D7="",INDEX(matriz_valor!$B$2:$J$26,MATCH($A7,matriz_valor!$A$2:$A$26,0),MATCH(O$1,matriz_valor!$B$1:$J$1,0))*$G7&gt;=$D7),INDEX(matriz_valor!$B$2:$J$26,MATCH($A7,matriz_valor!$A$2:$A$26,0),MATCH(O$1,matriz_valor!$B$1:$J$1,0))*$G7&lt;=$E7),"cumple","no cumple"))))</f>
        <v/>
      </c>
      <c r="P7">
        <f>IF(ISNA(MATCH($A7,matriz_valor!$A$2:$A$26,0)),"no analizado",IF(INDEX(matriz_valor!$B$2:$J$26,MATCH($A7,matriz_valor!$A$2:$A$26,0),MATCH(P$1,matriz_valor!$B$1:$J$1,0))="","no analizado",IF(INDEX(matriz_signo!$B$2:$J$26,MATCH($A7,matriz_valor!$A$2:$A$26,0),MATCH(P$1,matriz_valor!$B$1:$J$1,0))="&lt;",IF($D7&lt;&gt;"","no concluyente",IF(INDEX(matriz_valor!$B$2:$J$26,MATCH($A7,matriz_valor!$A$2:$A$26,0),MATCH(P$1,matriz_valor!$B$1:$J$1,0))*$G7&lt;=$E7,"cumple","no concluyente")),IF(AND(OR($D7="",INDEX(matriz_valor!$B$2:$J$26,MATCH($A7,matriz_valor!$A$2:$A$26,0),MATCH(P$1,matriz_valor!$B$1:$J$1,0))*$G7&gt;=$D7),INDEX(matriz_valor!$B$2:$J$26,MATCH($A7,matriz_valor!$A$2:$A$26,0),MATCH(P$1,matriz_valor!$B$1:$J$1,0))*$G7&lt;=$E7),"cumple","no cumple"))))</f>
        <v/>
      </c>
    </row>
    <row r="8">
      <c r="A8" t="inlineStr">
        <is>
          <t>ortofosfatos</t>
        </is>
      </c>
      <c r="B8" t="inlineStr">
        <is>
          <t>Fosfatos</t>
        </is>
      </c>
      <c r="C8" t="n">
        <v>1</v>
      </c>
      <c r="E8" t="n">
        <v>0.5</v>
      </c>
      <c r="F8" t="inlineStr">
        <is>
          <t>mg/L PO4</t>
        </is>
      </c>
      <c r="G8" t="n">
        <v>1</v>
      </c>
      <c r="H8">
        <f>IF(ISNA(MATCH($A8,matriz_valor!$A$2:$A$26,0)),"no analizado",IF(INDEX(matriz_valor!$B$2:$J$26,MATCH($A8,matriz_valor!$A$2:$A$26,0),MATCH(H$1,matriz_valor!$B$1:$J$1,0))="","no analizado",IF(INDEX(matriz_signo!$B$2:$J$26,MATCH($A8,matriz_valor!$A$2:$A$26,0),MATCH(H$1,matriz_valor!$B$1:$J$1,0))="&lt;",IF($D8&lt;&gt;"","no concluyente",IF(INDEX(matriz_valor!$B$2:$J$26,MATCH($A8,matriz_valor!$A$2:$A$26,0),MATCH(H$1,matriz_valor!$B$1:$J$1,0))*$G8&lt;=$E8,"cumple","no concluyente")),IF(AND(OR($D8="",INDEX(matriz_valor!$B$2:$J$26,MATCH($A8,matriz_valor!$A$2:$A$26,0),MATCH(H$1,matriz_valor!$B$1:$J$1,0))*$G8&gt;=$D8),INDEX(matriz_valor!$B$2:$J$26,MATCH($A8,matriz_valor!$A$2:$A$26,0),MATCH(H$1,matriz_valor!$B$1:$J$1,0))*$G8&lt;=$E8),"cumple","no cumple"))))</f>
        <v/>
      </c>
      <c r="I8">
        <f>IF(ISNA(MATCH($A8,matriz_valor!$A$2:$A$26,0)),"no analizado",IF(INDEX(matriz_valor!$B$2:$J$26,MATCH($A8,matriz_valor!$A$2:$A$26,0),MATCH(I$1,matriz_valor!$B$1:$J$1,0))="","no analizado",IF(INDEX(matriz_signo!$B$2:$J$26,MATCH($A8,matriz_valor!$A$2:$A$26,0),MATCH(I$1,matriz_valor!$B$1:$J$1,0))="&lt;",IF($D8&lt;&gt;"","no concluyente",IF(INDEX(matriz_valor!$B$2:$J$26,MATCH($A8,matriz_valor!$A$2:$A$26,0),MATCH(I$1,matriz_valor!$B$1:$J$1,0))*$G8&lt;=$E8,"cumple","no concluyente")),IF(AND(OR($D8="",INDEX(matriz_valor!$B$2:$J$26,MATCH($A8,matriz_valor!$A$2:$A$26,0),MATCH(I$1,matriz_valor!$B$1:$J$1,0))*$G8&gt;=$D8),INDEX(matriz_valor!$B$2:$J$26,MATCH($A8,matriz_valor!$A$2:$A$26,0),MATCH(I$1,matriz_valor!$B$1:$J$1,0))*$G8&lt;=$E8),"cumple","no cumple"))))</f>
        <v/>
      </c>
      <c r="J8">
        <f>IF(ISNA(MATCH($A8,matriz_valor!$A$2:$A$26,0)),"no analizado",IF(INDEX(matriz_valor!$B$2:$J$26,MATCH($A8,matriz_valor!$A$2:$A$26,0),MATCH(J$1,matriz_valor!$B$1:$J$1,0))="","no analizado",IF(INDEX(matriz_signo!$B$2:$J$26,MATCH($A8,matriz_valor!$A$2:$A$26,0),MATCH(J$1,matriz_valor!$B$1:$J$1,0))="&lt;",IF($D8&lt;&gt;"","no concluyente",IF(INDEX(matriz_valor!$B$2:$J$26,MATCH($A8,matriz_valor!$A$2:$A$26,0),MATCH(J$1,matriz_valor!$B$1:$J$1,0))*$G8&lt;=$E8,"cumple","no concluyente")),IF(AND(OR($D8="",INDEX(matriz_valor!$B$2:$J$26,MATCH($A8,matriz_valor!$A$2:$A$26,0),MATCH(J$1,matriz_valor!$B$1:$J$1,0))*$G8&gt;=$D8),INDEX(matriz_valor!$B$2:$J$26,MATCH($A8,matriz_valor!$A$2:$A$26,0),MATCH(J$1,matriz_valor!$B$1:$J$1,0))*$G8&lt;=$E8),"cumple","no cumple"))))</f>
        <v/>
      </c>
      <c r="K8">
        <f>IF(ISNA(MATCH($A8,matriz_valor!$A$2:$A$26,0)),"no analizado",IF(INDEX(matriz_valor!$B$2:$J$26,MATCH($A8,matriz_valor!$A$2:$A$26,0),MATCH(K$1,matriz_valor!$B$1:$J$1,0))="","no analizado",IF(INDEX(matriz_signo!$B$2:$J$26,MATCH($A8,matriz_valor!$A$2:$A$26,0),MATCH(K$1,matriz_valor!$B$1:$J$1,0))="&lt;",IF($D8&lt;&gt;"","no concluyente",IF(INDEX(matriz_valor!$B$2:$J$26,MATCH($A8,matriz_valor!$A$2:$A$26,0),MATCH(K$1,matriz_valor!$B$1:$J$1,0))*$G8&lt;=$E8,"cumple","no concluyente")),IF(AND(OR($D8="",INDEX(matriz_valor!$B$2:$J$26,MATCH($A8,matriz_valor!$A$2:$A$26,0),MATCH(K$1,matriz_valor!$B$1:$J$1,0))*$G8&gt;=$D8),INDEX(matriz_valor!$B$2:$J$26,MATCH($A8,matriz_valor!$A$2:$A$26,0),MATCH(K$1,matriz_valor!$B$1:$J$1,0))*$G8&lt;=$E8),"cumple","no cumple"))))</f>
        <v/>
      </c>
      <c r="L8">
        <f>IF(ISNA(MATCH($A8,matriz_valor!$A$2:$A$26,0)),"no analizado",IF(INDEX(matriz_valor!$B$2:$J$26,MATCH($A8,matriz_valor!$A$2:$A$26,0),MATCH(L$1,matriz_valor!$B$1:$J$1,0))="","no analizado",IF(INDEX(matriz_signo!$B$2:$J$26,MATCH($A8,matriz_valor!$A$2:$A$26,0),MATCH(L$1,matriz_valor!$B$1:$J$1,0))="&lt;",IF($D8&lt;&gt;"","no concluyente",IF(INDEX(matriz_valor!$B$2:$J$26,MATCH($A8,matriz_valor!$A$2:$A$26,0),MATCH(L$1,matriz_valor!$B$1:$J$1,0))*$G8&lt;=$E8,"cumple","no concluyente")),IF(AND(OR($D8="",INDEX(matriz_valor!$B$2:$J$26,MATCH($A8,matriz_valor!$A$2:$A$26,0),MATCH(L$1,matriz_valor!$B$1:$J$1,0))*$G8&gt;=$D8),INDEX(matriz_valor!$B$2:$J$26,MATCH($A8,matriz_valor!$A$2:$A$26,0),MATCH(L$1,matriz_valor!$B$1:$J$1,0))*$G8&lt;=$E8),"cumple","no cumple"))))</f>
        <v/>
      </c>
      <c r="M8">
        <f>IF(ISNA(MATCH($A8,matriz_valor!$A$2:$A$26,0)),"no analizado",IF(INDEX(matriz_valor!$B$2:$J$26,MATCH($A8,matriz_valor!$A$2:$A$26,0),MATCH(M$1,matriz_valor!$B$1:$J$1,0))="","no analizado",IF(INDEX(matriz_signo!$B$2:$J$26,MATCH($A8,matriz_valor!$A$2:$A$26,0),MATCH(M$1,matriz_valor!$B$1:$J$1,0))="&lt;",IF($D8&lt;&gt;"","no concluyente",IF(INDEX(matriz_valor!$B$2:$J$26,MATCH($A8,matriz_valor!$A$2:$A$26,0),MATCH(M$1,matriz_valor!$B$1:$J$1,0))*$G8&lt;=$E8,"cumple","no concluyente")),IF(AND(OR($D8="",INDEX(matriz_valor!$B$2:$J$26,MATCH($A8,matriz_valor!$A$2:$A$26,0),MATCH(M$1,matriz_valor!$B$1:$J$1,0))*$G8&gt;=$D8),INDEX(matriz_valor!$B$2:$J$26,MATCH($A8,matriz_valor!$A$2:$A$26,0),MATCH(M$1,matriz_valor!$B$1:$J$1,0))*$G8&lt;=$E8),"cumple","no cumple"))))</f>
        <v/>
      </c>
      <c r="N8">
        <f>IF(ISNA(MATCH($A8,matriz_valor!$A$2:$A$26,0)),"no analizado",IF(INDEX(matriz_valor!$B$2:$J$26,MATCH($A8,matriz_valor!$A$2:$A$26,0),MATCH(N$1,matriz_valor!$B$1:$J$1,0))="","no analizado",IF(INDEX(matriz_signo!$B$2:$J$26,MATCH($A8,matriz_valor!$A$2:$A$26,0),MATCH(N$1,matriz_valor!$B$1:$J$1,0))="&lt;",IF($D8&lt;&gt;"","no concluyente",IF(INDEX(matriz_valor!$B$2:$J$26,MATCH($A8,matriz_valor!$A$2:$A$26,0),MATCH(N$1,matriz_valor!$B$1:$J$1,0))*$G8&lt;=$E8,"cumple","no concluyente")),IF(AND(OR($D8="",INDEX(matriz_valor!$B$2:$J$26,MATCH($A8,matriz_valor!$A$2:$A$26,0),MATCH(N$1,matriz_valor!$B$1:$J$1,0))*$G8&gt;=$D8),INDEX(matriz_valor!$B$2:$J$26,MATCH($A8,matriz_valor!$A$2:$A$26,0),MATCH(N$1,matriz_valor!$B$1:$J$1,0))*$G8&lt;=$E8),"cumple","no cumple"))))</f>
        <v/>
      </c>
      <c r="O8">
        <f>IF(ISNA(MATCH($A8,matriz_valor!$A$2:$A$26,0)),"no analizado",IF(INDEX(matriz_valor!$B$2:$J$26,MATCH($A8,matriz_valor!$A$2:$A$26,0),MATCH(O$1,matriz_valor!$B$1:$J$1,0))="","no analizado",IF(INDEX(matriz_signo!$B$2:$J$26,MATCH($A8,matriz_valor!$A$2:$A$26,0),MATCH(O$1,matriz_valor!$B$1:$J$1,0))="&lt;",IF($D8&lt;&gt;"","no concluyente",IF(INDEX(matriz_valor!$B$2:$J$26,MATCH($A8,matriz_valor!$A$2:$A$26,0),MATCH(O$1,matriz_valor!$B$1:$J$1,0))*$G8&lt;=$E8,"cumple","no concluyente")),IF(AND(OR($D8="",INDEX(matriz_valor!$B$2:$J$26,MATCH($A8,matriz_valor!$A$2:$A$26,0),MATCH(O$1,matriz_valor!$B$1:$J$1,0))*$G8&gt;=$D8),INDEX(matriz_valor!$B$2:$J$26,MATCH($A8,matriz_valor!$A$2:$A$26,0),MATCH(O$1,matriz_valor!$B$1:$J$1,0))*$G8&lt;=$E8),"cumple","no cumple"))))</f>
        <v/>
      </c>
      <c r="P8">
        <f>IF(ISNA(MATCH($A8,matriz_valor!$A$2:$A$26,0)),"no analizado",IF(INDEX(matriz_valor!$B$2:$J$26,MATCH($A8,matriz_valor!$A$2:$A$26,0),MATCH(P$1,matriz_valor!$B$1:$J$1,0))="","no analizado",IF(INDEX(matriz_signo!$B$2:$J$26,MATCH($A8,matriz_valor!$A$2:$A$26,0),MATCH(P$1,matriz_valor!$B$1:$J$1,0))="&lt;",IF($D8&lt;&gt;"","no concluyente",IF(INDEX(matriz_valor!$B$2:$J$26,MATCH($A8,matriz_valor!$A$2:$A$26,0),MATCH(P$1,matriz_valor!$B$1:$J$1,0))*$G8&lt;=$E8,"cumple","no concluyente")),IF(AND(OR($D8="",INDEX(matriz_valor!$B$2:$J$26,MATCH($A8,matriz_valor!$A$2:$A$26,0),MATCH(P$1,matriz_valor!$B$1:$J$1,0))*$G8&gt;=$D8),INDEX(matriz_valor!$B$2:$J$26,MATCH($A8,matriz_valor!$A$2:$A$26,0),MATCH(P$1,matriz_valor!$B$1:$J$1,0))*$G8&lt;=$E8),"cumple","no cumple"))))</f>
        <v/>
      </c>
    </row>
    <row r="9">
      <c r="A9" t="inlineStr">
        <is>
          <t>manganeso</t>
        </is>
      </c>
      <c r="B9" t="inlineStr">
        <is>
          <t>Manganeso</t>
        </is>
      </c>
      <c r="C9" t="n">
        <v>1</v>
      </c>
      <c r="E9" t="n">
        <v>0.1</v>
      </c>
      <c r="F9" t="inlineStr">
        <is>
          <t>mg/L Mn</t>
        </is>
      </c>
      <c r="G9" t="n">
        <v>1</v>
      </c>
      <c r="H9">
        <f>IF(ISNA(MATCH($A9,matriz_valor!$A$2:$A$26,0)),"no analizado",IF(INDEX(matriz_valor!$B$2:$J$26,MATCH($A9,matriz_valor!$A$2:$A$26,0),MATCH(H$1,matriz_valor!$B$1:$J$1,0))="","no analizado",IF(INDEX(matriz_signo!$B$2:$J$26,MATCH($A9,matriz_valor!$A$2:$A$26,0),MATCH(H$1,matriz_valor!$B$1:$J$1,0))="&lt;",IF($D9&lt;&gt;"","no concluyente",IF(INDEX(matriz_valor!$B$2:$J$26,MATCH($A9,matriz_valor!$A$2:$A$26,0),MATCH(H$1,matriz_valor!$B$1:$J$1,0))*$G9&lt;=$E9,"cumple","no concluyente")),IF(AND(OR($D9="",INDEX(matriz_valor!$B$2:$J$26,MATCH($A9,matriz_valor!$A$2:$A$26,0),MATCH(H$1,matriz_valor!$B$1:$J$1,0))*$G9&gt;=$D9),INDEX(matriz_valor!$B$2:$J$26,MATCH($A9,matriz_valor!$A$2:$A$26,0),MATCH(H$1,matriz_valor!$B$1:$J$1,0))*$G9&lt;=$E9),"cumple","no cumple"))))</f>
        <v/>
      </c>
      <c r="I9">
        <f>IF(ISNA(MATCH($A9,matriz_valor!$A$2:$A$26,0)),"no analizado",IF(INDEX(matriz_valor!$B$2:$J$26,MATCH($A9,matriz_valor!$A$2:$A$26,0),MATCH(I$1,matriz_valor!$B$1:$J$1,0))="","no analizado",IF(INDEX(matriz_signo!$B$2:$J$26,MATCH($A9,matriz_valor!$A$2:$A$26,0),MATCH(I$1,matriz_valor!$B$1:$J$1,0))="&lt;",IF($D9&lt;&gt;"","no concluyente",IF(INDEX(matriz_valor!$B$2:$J$26,MATCH($A9,matriz_valor!$A$2:$A$26,0),MATCH(I$1,matriz_valor!$B$1:$J$1,0))*$G9&lt;=$E9,"cumple","no concluyente")),IF(AND(OR($D9="",INDEX(matriz_valor!$B$2:$J$26,MATCH($A9,matriz_valor!$A$2:$A$26,0),MATCH(I$1,matriz_valor!$B$1:$J$1,0))*$G9&gt;=$D9),INDEX(matriz_valor!$B$2:$J$26,MATCH($A9,matriz_valor!$A$2:$A$26,0),MATCH(I$1,matriz_valor!$B$1:$J$1,0))*$G9&lt;=$E9),"cumple","no cumple"))))</f>
        <v/>
      </c>
      <c r="J9">
        <f>IF(ISNA(MATCH($A9,matriz_valor!$A$2:$A$26,0)),"no analizado",IF(INDEX(matriz_valor!$B$2:$J$26,MATCH($A9,matriz_valor!$A$2:$A$26,0),MATCH(J$1,matriz_valor!$B$1:$J$1,0))="","no analizado",IF(INDEX(matriz_signo!$B$2:$J$26,MATCH($A9,matriz_valor!$A$2:$A$26,0),MATCH(J$1,matriz_valor!$B$1:$J$1,0))="&lt;",IF($D9&lt;&gt;"","no concluyente",IF(INDEX(matriz_valor!$B$2:$J$26,MATCH($A9,matriz_valor!$A$2:$A$26,0),MATCH(J$1,matriz_valor!$B$1:$J$1,0))*$G9&lt;=$E9,"cumple","no concluyente")),IF(AND(OR($D9="",INDEX(matriz_valor!$B$2:$J$26,MATCH($A9,matriz_valor!$A$2:$A$26,0),MATCH(J$1,matriz_valor!$B$1:$J$1,0))*$G9&gt;=$D9),INDEX(matriz_valor!$B$2:$J$26,MATCH($A9,matriz_valor!$A$2:$A$26,0),MATCH(J$1,matriz_valor!$B$1:$J$1,0))*$G9&lt;=$E9),"cumple","no cumple"))))</f>
        <v/>
      </c>
      <c r="K9">
        <f>IF(ISNA(MATCH($A9,matriz_valor!$A$2:$A$26,0)),"no analizado",IF(INDEX(matriz_valor!$B$2:$J$26,MATCH($A9,matriz_valor!$A$2:$A$26,0),MATCH(K$1,matriz_valor!$B$1:$J$1,0))="","no analizado",IF(INDEX(matriz_signo!$B$2:$J$26,MATCH($A9,matriz_valor!$A$2:$A$26,0),MATCH(K$1,matriz_valor!$B$1:$J$1,0))="&lt;",IF($D9&lt;&gt;"","no concluyente",IF(INDEX(matriz_valor!$B$2:$J$26,MATCH($A9,matriz_valor!$A$2:$A$26,0),MATCH(K$1,matriz_valor!$B$1:$J$1,0))*$G9&lt;=$E9,"cumple","no concluyente")),IF(AND(OR($D9="",INDEX(matriz_valor!$B$2:$J$26,MATCH($A9,matriz_valor!$A$2:$A$26,0),MATCH(K$1,matriz_valor!$B$1:$J$1,0))*$G9&gt;=$D9),INDEX(matriz_valor!$B$2:$J$26,MATCH($A9,matriz_valor!$A$2:$A$26,0),MATCH(K$1,matriz_valor!$B$1:$J$1,0))*$G9&lt;=$E9),"cumple","no cumple"))))</f>
        <v/>
      </c>
      <c r="L9">
        <f>IF(ISNA(MATCH($A9,matriz_valor!$A$2:$A$26,0)),"no analizado",IF(INDEX(matriz_valor!$B$2:$J$26,MATCH($A9,matriz_valor!$A$2:$A$26,0),MATCH(L$1,matriz_valor!$B$1:$J$1,0))="","no analizado",IF(INDEX(matriz_signo!$B$2:$J$26,MATCH($A9,matriz_valor!$A$2:$A$26,0),MATCH(L$1,matriz_valor!$B$1:$J$1,0))="&lt;",IF($D9&lt;&gt;"","no concluyente",IF(INDEX(matriz_valor!$B$2:$J$26,MATCH($A9,matriz_valor!$A$2:$A$26,0),MATCH(L$1,matriz_valor!$B$1:$J$1,0))*$G9&lt;=$E9,"cumple","no concluyente")),IF(AND(OR($D9="",INDEX(matriz_valor!$B$2:$J$26,MATCH($A9,matriz_valor!$A$2:$A$26,0),MATCH(L$1,matriz_valor!$B$1:$J$1,0))*$G9&gt;=$D9),INDEX(matriz_valor!$B$2:$J$26,MATCH($A9,matriz_valor!$A$2:$A$26,0),MATCH(L$1,matriz_valor!$B$1:$J$1,0))*$G9&lt;=$E9),"cumple","no cumple"))))</f>
        <v/>
      </c>
      <c r="M9">
        <f>IF(ISNA(MATCH($A9,matriz_valor!$A$2:$A$26,0)),"no analizado",IF(INDEX(matriz_valor!$B$2:$J$26,MATCH($A9,matriz_valor!$A$2:$A$26,0),MATCH(M$1,matriz_valor!$B$1:$J$1,0))="","no analizado",IF(INDEX(matriz_signo!$B$2:$J$26,MATCH($A9,matriz_valor!$A$2:$A$26,0),MATCH(M$1,matriz_valor!$B$1:$J$1,0))="&lt;",IF($D9&lt;&gt;"","no concluyente",IF(INDEX(matriz_valor!$B$2:$J$26,MATCH($A9,matriz_valor!$A$2:$A$26,0),MATCH(M$1,matriz_valor!$B$1:$J$1,0))*$G9&lt;=$E9,"cumple","no concluyente")),IF(AND(OR($D9="",INDEX(matriz_valor!$B$2:$J$26,MATCH($A9,matriz_valor!$A$2:$A$26,0),MATCH(M$1,matriz_valor!$B$1:$J$1,0))*$G9&gt;=$D9),INDEX(matriz_valor!$B$2:$J$26,MATCH($A9,matriz_valor!$A$2:$A$26,0),MATCH(M$1,matriz_valor!$B$1:$J$1,0))*$G9&lt;=$E9),"cumple","no cumple"))))</f>
        <v/>
      </c>
      <c r="N9">
        <f>IF(ISNA(MATCH($A9,matriz_valor!$A$2:$A$26,0)),"no analizado",IF(INDEX(matriz_valor!$B$2:$J$26,MATCH($A9,matriz_valor!$A$2:$A$26,0),MATCH(N$1,matriz_valor!$B$1:$J$1,0))="","no analizado",IF(INDEX(matriz_signo!$B$2:$J$26,MATCH($A9,matriz_valor!$A$2:$A$26,0),MATCH(N$1,matriz_valor!$B$1:$J$1,0))="&lt;",IF($D9&lt;&gt;"","no concluyente",IF(INDEX(matriz_valor!$B$2:$J$26,MATCH($A9,matriz_valor!$A$2:$A$26,0),MATCH(N$1,matriz_valor!$B$1:$J$1,0))*$G9&lt;=$E9,"cumple","no concluyente")),IF(AND(OR($D9="",INDEX(matriz_valor!$B$2:$J$26,MATCH($A9,matriz_valor!$A$2:$A$26,0),MATCH(N$1,matriz_valor!$B$1:$J$1,0))*$G9&gt;=$D9),INDEX(matriz_valor!$B$2:$J$26,MATCH($A9,matriz_valor!$A$2:$A$26,0),MATCH(N$1,matriz_valor!$B$1:$J$1,0))*$G9&lt;=$E9),"cumple","no cumple"))))</f>
        <v/>
      </c>
      <c r="O9">
        <f>IF(ISNA(MATCH($A9,matriz_valor!$A$2:$A$26,0)),"no analizado",IF(INDEX(matriz_valor!$B$2:$J$26,MATCH($A9,matriz_valor!$A$2:$A$26,0),MATCH(O$1,matriz_valor!$B$1:$J$1,0))="","no analizado",IF(INDEX(matriz_signo!$B$2:$J$26,MATCH($A9,matriz_valor!$A$2:$A$26,0),MATCH(O$1,matriz_valor!$B$1:$J$1,0))="&lt;",IF($D9&lt;&gt;"","no concluyente",IF(INDEX(matriz_valor!$B$2:$J$26,MATCH($A9,matriz_valor!$A$2:$A$26,0),MATCH(O$1,matriz_valor!$B$1:$J$1,0))*$G9&lt;=$E9,"cumple","no concluyente")),IF(AND(OR($D9="",INDEX(matriz_valor!$B$2:$J$26,MATCH($A9,matriz_valor!$A$2:$A$26,0),MATCH(O$1,matriz_valor!$B$1:$J$1,0))*$G9&gt;=$D9),INDEX(matriz_valor!$B$2:$J$26,MATCH($A9,matriz_valor!$A$2:$A$26,0),MATCH(O$1,matriz_valor!$B$1:$J$1,0))*$G9&lt;=$E9),"cumple","no cumple"))))</f>
        <v/>
      </c>
      <c r="P9">
        <f>IF(ISNA(MATCH($A9,matriz_valor!$A$2:$A$26,0)),"no analizado",IF(INDEX(matriz_valor!$B$2:$J$26,MATCH($A9,matriz_valor!$A$2:$A$26,0),MATCH(P$1,matriz_valor!$B$1:$J$1,0))="","no analizado",IF(INDEX(matriz_signo!$B$2:$J$26,MATCH($A9,matriz_valor!$A$2:$A$26,0),MATCH(P$1,matriz_valor!$B$1:$J$1,0))="&lt;",IF($D9&lt;&gt;"","no concluyente",IF(INDEX(matriz_valor!$B$2:$J$26,MATCH($A9,matriz_valor!$A$2:$A$26,0),MATCH(P$1,matriz_valor!$B$1:$J$1,0))*$G9&lt;=$E9,"cumple","no concluyente")),IF(AND(OR($D9="",INDEX(matriz_valor!$B$2:$J$26,MATCH($A9,matriz_valor!$A$2:$A$26,0),MATCH(P$1,matriz_valor!$B$1:$J$1,0))*$G9&gt;=$D9),INDEX(matriz_valor!$B$2:$J$26,MATCH($A9,matriz_valor!$A$2:$A$26,0),MATCH(P$1,matriz_valor!$B$1:$J$1,0))*$G9&lt;=$E9),"cumple","no cumple"))))</f>
        <v/>
      </c>
    </row>
    <row r="10">
      <c r="A10" t="inlineStr">
        <is>
          <t>molibdeno</t>
        </is>
      </c>
      <c r="B10" t="inlineStr">
        <is>
          <t>Molibdeno</t>
        </is>
      </c>
      <c r="C10" t="n">
        <v>1</v>
      </c>
      <c r="E10" t="n">
        <v>0.07000000000000001</v>
      </c>
      <c r="F10" t="inlineStr">
        <is>
          <t>mg/L Mo</t>
        </is>
      </c>
      <c r="G10" t="n">
        <v>1</v>
      </c>
      <c r="H10">
        <f>IF(ISNA(MATCH($A10,matriz_valor!$A$2:$A$26,0)),"no analizado",IF(INDEX(matriz_valor!$B$2:$J$26,MATCH($A10,matriz_valor!$A$2:$A$26,0),MATCH(H$1,matriz_valor!$B$1:$J$1,0))="","no analizado",IF(INDEX(matriz_signo!$B$2:$J$26,MATCH($A10,matriz_valor!$A$2:$A$26,0),MATCH(H$1,matriz_valor!$B$1:$J$1,0))="&lt;",IF($D10&lt;&gt;"","no concluyente",IF(INDEX(matriz_valor!$B$2:$J$26,MATCH($A10,matriz_valor!$A$2:$A$26,0),MATCH(H$1,matriz_valor!$B$1:$J$1,0))*$G10&lt;=$E10,"cumple","no concluyente")),IF(AND(OR($D10="",INDEX(matriz_valor!$B$2:$J$26,MATCH($A10,matriz_valor!$A$2:$A$26,0),MATCH(H$1,matriz_valor!$B$1:$J$1,0))*$G10&gt;=$D10),INDEX(matriz_valor!$B$2:$J$26,MATCH($A10,matriz_valor!$A$2:$A$26,0),MATCH(H$1,matriz_valor!$B$1:$J$1,0))*$G10&lt;=$E10),"cumple","no cumple"))))</f>
        <v/>
      </c>
      <c r="I10">
        <f>IF(ISNA(MATCH($A10,matriz_valor!$A$2:$A$26,0)),"no analizado",IF(INDEX(matriz_valor!$B$2:$J$26,MATCH($A10,matriz_valor!$A$2:$A$26,0),MATCH(I$1,matriz_valor!$B$1:$J$1,0))="","no analizado",IF(INDEX(matriz_signo!$B$2:$J$26,MATCH($A10,matriz_valor!$A$2:$A$26,0),MATCH(I$1,matriz_valor!$B$1:$J$1,0))="&lt;",IF($D10&lt;&gt;"","no concluyente",IF(INDEX(matriz_valor!$B$2:$J$26,MATCH($A10,matriz_valor!$A$2:$A$26,0),MATCH(I$1,matriz_valor!$B$1:$J$1,0))*$G10&lt;=$E10,"cumple","no concluyente")),IF(AND(OR($D10="",INDEX(matriz_valor!$B$2:$J$26,MATCH($A10,matriz_valor!$A$2:$A$26,0),MATCH(I$1,matriz_valor!$B$1:$J$1,0))*$G10&gt;=$D10),INDEX(matriz_valor!$B$2:$J$26,MATCH($A10,matriz_valor!$A$2:$A$26,0),MATCH(I$1,matriz_valor!$B$1:$J$1,0))*$G10&lt;=$E10),"cumple","no cumple"))))</f>
        <v/>
      </c>
      <c r="J10">
        <f>IF(ISNA(MATCH($A10,matriz_valor!$A$2:$A$26,0)),"no analizado",IF(INDEX(matriz_valor!$B$2:$J$26,MATCH($A10,matriz_valor!$A$2:$A$26,0),MATCH(J$1,matriz_valor!$B$1:$J$1,0))="","no analizado",IF(INDEX(matriz_signo!$B$2:$J$26,MATCH($A10,matriz_valor!$A$2:$A$26,0),MATCH(J$1,matriz_valor!$B$1:$J$1,0))="&lt;",IF($D10&lt;&gt;"","no concluyente",IF(INDEX(matriz_valor!$B$2:$J$26,MATCH($A10,matriz_valor!$A$2:$A$26,0),MATCH(J$1,matriz_valor!$B$1:$J$1,0))*$G10&lt;=$E10,"cumple","no concluyente")),IF(AND(OR($D10="",INDEX(matriz_valor!$B$2:$J$26,MATCH($A10,matriz_valor!$A$2:$A$26,0),MATCH(J$1,matriz_valor!$B$1:$J$1,0))*$G10&gt;=$D10),INDEX(matriz_valor!$B$2:$J$26,MATCH($A10,matriz_valor!$A$2:$A$26,0),MATCH(J$1,matriz_valor!$B$1:$J$1,0))*$G10&lt;=$E10),"cumple","no cumple"))))</f>
        <v/>
      </c>
      <c r="K10">
        <f>IF(ISNA(MATCH($A10,matriz_valor!$A$2:$A$26,0)),"no analizado",IF(INDEX(matriz_valor!$B$2:$J$26,MATCH($A10,matriz_valor!$A$2:$A$26,0),MATCH(K$1,matriz_valor!$B$1:$J$1,0))="","no analizado",IF(INDEX(matriz_signo!$B$2:$J$26,MATCH($A10,matriz_valor!$A$2:$A$26,0),MATCH(K$1,matriz_valor!$B$1:$J$1,0))="&lt;",IF($D10&lt;&gt;"","no concluyente",IF(INDEX(matriz_valor!$B$2:$J$26,MATCH($A10,matriz_valor!$A$2:$A$26,0),MATCH(K$1,matriz_valor!$B$1:$J$1,0))*$G10&lt;=$E10,"cumple","no concluyente")),IF(AND(OR($D10="",INDEX(matriz_valor!$B$2:$J$26,MATCH($A10,matriz_valor!$A$2:$A$26,0),MATCH(K$1,matriz_valor!$B$1:$J$1,0))*$G10&gt;=$D10),INDEX(matriz_valor!$B$2:$J$26,MATCH($A10,matriz_valor!$A$2:$A$26,0),MATCH(K$1,matriz_valor!$B$1:$J$1,0))*$G10&lt;=$E10),"cumple","no cumple"))))</f>
        <v/>
      </c>
      <c r="L10">
        <f>IF(ISNA(MATCH($A10,matriz_valor!$A$2:$A$26,0)),"no analizado",IF(INDEX(matriz_valor!$B$2:$J$26,MATCH($A10,matriz_valor!$A$2:$A$26,0),MATCH(L$1,matriz_valor!$B$1:$J$1,0))="","no analizado",IF(INDEX(matriz_signo!$B$2:$J$26,MATCH($A10,matriz_valor!$A$2:$A$26,0),MATCH(L$1,matriz_valor!$B$1:$J$1,0))="&lt;",IF($D10&lt;&gt;"","no concluyente",IF(INDEX(matriz_valor!$B$2:$J$26,MATCH($A10,matriz_valor!$A$2:$A$26,0),MATCH(L$1,matriz_valor!$B$1:$J$1,0))*$G10&lt;=$E10,"cumple","no concluyente")),IF(AND(OR($D10="",INDEX(matriz_valor!$B$2:$J$26,MATCH($A10,matriz_valor!$A$2:$A$26,0),MATCH(L$1,matriz_valor!$B$1:$J$1,0))*$G10&gt;=$D10),INDEX(matriz_valor!$B$2:$J$26,MATCH($A10,matriz_valor!$A$2:$A$26,0),MATCH(L$1,matriz_valor!$B$1:$J$1,0))*$G10&lt;=$E10),"cumple","no cumple"))))</f>
        <v/>
      </c>
      <c r="M10">
        <f>IF(ISNA(MATCH($A10,matriz_valor!$A$2:$A$26,0)),"no analizado",IF(INDEX(matriz_valor!$B$2:$J$26,MATCH($A10,matriz_valor!$A$2:$A$26,0),MATCH(M$1,matriz_valor!$B$1:$J$1,0))="","no analizado",IF(INDEX(matriz_signo!$B$2:$J$26,MATCH($A10,matriz_valor!$A$2:$A$26,0),MATCH(M$1,matriz_valor!$B$1:$J$1,0))="&lt;",IF($D10&lt;&gt;"","no concluyente",IF(INDEX(matriz_valor!$B$2:$J$26,MATCH($A10,matriz_valor!$A$2:$A$26,0),MATCH(M$1,matriz_valor!$B$1:$J$1,0))*$G10&lt;=$E10,"cumple","no concluyente")),IF(AND(OR($D10="",INDEX(matriz_valor!$B$2:$J$26,MATCH($A10,matriz_valor!$A$2:$A$26,0),MATCH(M$1,matriz_valor!$B$1:$J$1,0))*$G10&gt;=$D10),INDEX(matriz_valor!$B$2:$J$26,MATCH($A10,matriz_valor!$A$2:$A$26,0),MATCH(M$1,matriz_valor!$B$1:$J$1,0))*$G10&lt;=$E10),"cumple","no cumple"))))</f>
        <v/>
      </c>
      <c r="N10">
        <f>IF(ISNA(MATCH($A10,matriz_valor!$A$2:$A$26,0)),"no analizado",IF(INDEX(matriz_valor!$B$2:$J$26,MATCH($A10,matriz_valor!$A$2:$A$26,0),MATCH(N$1,matriz_valor!$B$1:$J$1,0))="","no analizado",IF(INDEX(matriz_signo!$B$2:$J$26,MATCH($A10,matriz_valor!$A$2:$A$26,0),MATCH(N$1,matriz_valor!$B$1:$J$1,0))="&lt;",IF($D10&lt;&gt;"","no concluyente",IF(INDEX(matriz_valor!$B$2:$J$26,MATCH($A10,matriz_valor!$A$2:$A$26,0),MATCH(N$1,matriz_valor!$B$1:$J$1,0))*$G10&lt;=$E10,"cumple","no concluyente")),IF(AND(OR($D10="",INDEX(matriz_valor!$B$2:$J$26,MATCH($A10,matriz_valor!$A$2:$A$26,0),MATCH(N$1,matriz_valor!$B$1:$J$1,0))*$G10&gt;=$D10),INDEX(matriz_valor!$B$2:$J$26,MATCH($A10,matriz_valor!$A$2:$A$26,0),MATCH(N$1,matriz_valor!$B$1:$J$1,0))*$G10&lt;=$E10),"cumple","no cumple"))))</f>
        <v/>
      </c>
      <c r="O10">
        <f>IF(ISNA(MATCH($A10,matriz_valor!$A$2:$A$26,0)),"no analizado",IF(INDEX(matriz_valor!$B$2:$J$26,MATCH($A10,matriz_valor!$A$2:$A$26,0),MATCH(O$1,matriz_valor!$B$1:$J$1,0))="","no analizado",IF(INDEX(matriz_signo!$B$2:$J$26,MATCH($A10,matriz_valor!$A$2:$A$26,0),MATCH(O$1,matriz_valor!$B$1:$J$1,0))="&lt;",IF($D10&lt;&gt;"","no concluyente",IF(INDEX(matriz_valor!$B$2:$J$26,MATCH($A10,matriz_valor!$A$2:$A$26,0),MATCH(O$1,matriz_valor!$B$1:$J$1,0))*$G10&lt;=$E10,"cumple","no concluyente")),IF(AND(OR($D10="",INDEX(matriz_valor!$B$2:$J$26,MATCH($A10,matriz_valor!$A$2:$A$26,0),MATCH(O$1,matriz_valor!$B$1:$J$1,0))*$G10&gt;=$D10),INDEX(matriz_valor!$B$2:$J$26,MATCH($A10,matriz_valor!$A$2:$A$26,0),MATCH(O$1,matriz_valor!$B$1:$J$1,0))*$G10&lt;=$E10),"cumple","no cumple"))))</f>
        <v/>
      </c>
      <c r="P10">
        <f>IF(ISNA(MATCH($A10,matriz_valor!$A$2:$A$26,0)),"no analizado",IF(INDEX(matriz_valor!$B$2:$J$26,MATCH($A10,matriz_valor!$A$2:$A$26,0),MATCH(P$1,matriz_valor!$B$1:$J$1,0))="","no analizado",IF(INDEX(matriz_signo!$B$2:$J$26,MATCH($A10,matriz_valor!$A$2:$A$26,0),MATCH(P$1,matriz_valor!$B$1:$J$1,0))="&lt;",IF($D10&lt;&gt;"","no concluyente",IF(INDEX(matriz_valor!$B$2:$J$26,MATCH($A10,matriz_valor!$A$2:$A$26,0),MATCH(P$1,matriz_valor!$B$1:$J$1,0))*$G10&lt;=$E10,"cumple","no concluyente")),IF(AND(OR($D10="",INDEX(matriz_valor!$B$2:$J$26,MATCH($A10,matriz_valor!$A$2:$A$26,0),MATCH(P$1,matriz_valor!$B$1:$J$1,0))*$G10&gt;=$D10),INDEX(matriz_valor!$B$2:$J$26,MATCH($A10,matriz_valor!$A$2:$A$26,0),MATCH(P$1,matriz_valor!$B$1:$J$1,0))*$G10&lt;=$E10),"cumple","no cumple"))))</f>
        <v/>
      </c>
    </row>
    <row r="11">
      <c r="A11" t="inlineStr">
        <is>
          <t>magnesio</t>
        </is>
      </c>
      <c r="B11" t="inlineStr">
        <is>
          <t>Magnesio</t>
        </is>
      </c>
      <c r="C11" t="n">
        <v>1</v>
      </c>
      <c r="E11" t="n">
        <v>36</v>
      </c>
      <c r="F11" t="inlineStr">
        <is>
          <t>mg/L Mg</t>
        </is>
      </c>
      <c r="G11" t="n">
        <v>1</v>
      </c>
      <c r="H11">
        <f>IF(ISNA(MATCH($A11,matriz_valor!$A$2:$A$26,0)),"no analizado",IF(INDEX(matriz_valor!$B$2:$J$26,MATCH($A11,matriz_valor!$A$2:$A$26,0),MATCH(H$1,matriz_valor!$B$1:$J$1,0))="","no analizado",IF(INDEX(matriz_signo!$B$2:$J$26,MATCH($A11,matriz_valor!$A$2:$A$26,0),MATCH(H$1,matriz_valor!$B$1:$J$1,0))="&lt;",IF($D11&lt;&gt;"","no concluyente",IF(INDEX(matriz_valor!$B$2:$J$26,MATCH($A11,matriz_valor!$A$2:$A$26,0),MATCH(H$1,matriz_valor!$B$1:$J$1,0))*$G11&lt;=$E11,"cumple","no concluyente")),IF(AND(OR($D11="",INDEX(matriz_valor!$B$2:$J$26,MATCH($A11,matriz_valor!$A$2:$A$26,0),MATCH(H$1,matriz_valor!$B$1:$J$1,0))*$G11&gt;=$D11),INDEX(matriz_valor!$B$2:$J$26,MATCH($A11,matriz_valor!$A$2:$A$26,0),MATCH(H$1,matriz_valor!$B$1:$J$1,0))*$G11&lt;=$E11),"cumple","no cumple"))))</f>
        <v/>
      </c>
      <c r="I11">
        <f>IF(ISNA(MATCH($A11,matriz_valor!$A$2:$A$26,0)),"no analizado",IF(INDEX(matriz_valor!$B$2:$J$26,MATCH($A11,matriz_valor!$A$2:$A$26,0),MATCH(I$1,matriz_valor!$B$1:$J$1,0))="","no analizado",IF(INDEX(matriz_signo!$B$2:$J$26,MATCH($A11,matriz_valor!$A$2:$A$26,0),MATCH(I$1,matriz_valor!$B$1:$J$1,0))="&lt;",IF($D11&lt;&gt;"","no concluyente",IF(INDEX(matriz_valor!$B$2:$J$26,MATCH($A11,matriz_valor!$A$2:$A$26,0),MATCH(I$1,matriz_valor!$B$1:$J$1,0))*$G11&lt;=$E11,"cumple","no concluyente")),IF(AND(OR($D11="",INDEX(matriz_valor!$B$2:$J$26,MATCH($A11,matriz_valor!$A$2:$A$26,0),MATCH(I$1,matriz_valor!$B$1:$J$1,0))*$G11&gt;=$D11),INDEX(matriz_valor!$B$2:$J$26,MATCH($A11,matriz_valor!$A$2:$A$26,0),MATCH(I$1,matriz_valor!$B$1:$J$1,0))*$G11&lt;=$E11),"cumple","no cumple"))))</f>
        <v/>
      </c>
      <c r="J11">
        <f>IF(ISNA(MATCH($A11,matriz_valor!$A$2:$A$26,0)),"no analizado",IF(INDEX(matriz_valor!$B$2:$J$26,MATCH($A11,matriz_valor!$A$2:$A$26,0),MATCH(J$1,matriz_valor!$B$1:$J$1,0))="","no analizado",IF(INDEX(matriz_signo!$B$2:$J$26,MATCH($A11,matriz_valor!$A$2:$A$26,0),MATCH(J$1,matriz_valor!$B$1:$J$1,0))="&lt;",IF($D11&lt;&gt;"","no concluyente",IF(INDEX(matriz_valor!$B$2:$J$26,MATCH($A11,matriz_valor!$A$2:$A$26,0),MATCH(J$1,matriz_valor!$B$1:$J$1,0))*$G11&lt;=$E11,"cumple","no concluyente")),IF(AND(OR($D11="",INDEX(matriz_valor!$B$2:$J$26,MATCH($A11,matriz_valor!$A$2:$A$26,0),MATCH(J$1,matriz_valor!$B$1:$J$1,0))*$G11&gt;=$D11),INDEX(matriz_valor!$B$2:$J$26,MATCH($A11,matriz_valor!$A$2:$A$26,0),MATCH(J$1,matriz_valor!$B$1:$J$1,0))*$G11&lt;=$E11),"cumple","no cumple"))))</f>
        <v/>
      </c>
      <c r="K11">
        <f>IF(ISNA(MATCH($A11,matriz_valor!$A$2:$A$26,0)),"no analizado",IF(INDEX(matriz_valor!$B$2:$J$26,MATCH($A11,matriz_valor!$A$2:$A$26,0),MATCH(K$1,matriz_valor!$B$1:$J$1,0))="","no analizado",IF(INDEX(matriz_signo!$B$2:$J$26,MATCH($A11,matriz_valor!$A$2:$A$26,0),MATCH(K$1,matriz_valor!$B$1:$J$1,0))="&lt;",IF($D11&lt;&gt;"","no concluyente",IF(INDEX(matriz_valor!$B$2:$J$26,MATCH($A11,matriz_valor!$A$2:$A$26,0),MATCH(K$1,matriz_valor!$B$1:$J$1,0))*$G11&lt;=$E11,"cumple","no concluyente")),IF(AND(OR($D11="",INDEX(matriz_valor!$B$2:$J$26,MATCH($A11,matriz_valor!$A$2:$A$26,0),MATCH(K$1,matriz_valor!$B$1:$J$1,0))*$G11&gt;=$D11),INDEX(matriz_valor!$B$2:$J$26,MATCH($A11,matriz_valor!$A$2:$A$26,0),MATCH(K$1,matriz_valor!$B$1:$J$1,0))*$G11&lt;=$E11),"cumple","no cumple"))))</f>
        <v/>
      </c>
      <c r="L11">
        <f>IF(ISNA(MATCH($A11,matriz_valor!$A$2:$A$26,0)),"no analizado",IF(INDEX(matriz_valor!$B$2:$J$26,MATCH($A11,matriz_valor!$A$2:$A$26,0),MATCH(L$1,matriz_valor!$B$1:$J$1,0))="","no analizado",IF(INDEX(matriz_signo!$B$2:$J$26,MATCH($A11,matriz_valor!$A$2:$A$26,0),MATCH(L$1,matriz_valor!$B$1:$J$1,0))="&lt;",IF($D11&lt;&gt;"","no concluyente",IF(INDEX(matriz_valor!$B$2:$J$26,MATCH($A11,matriz_valor!$A$2:$A$26,0),MATCH(L$1,matriz_valor!$B$1:$J$1,0))*$G11&lt;=$E11,"cumple","no concluyente")),IF(AND(OR($D11="",INDEX(matriz_valor!$B$2:$J$26,MATCH($A11,matriz_valor!$A$2:$A$26,0),MATCH(L$1,matriz_valor!$B$1:$J$1,0))*$G11&gt;=$D11),INDEX(matriz_valor!$B$2:$J$26,MATCH($A11,matriz_valor!$A$2:$A$26,0),MATCH(L$1,matriz_valor!$B$1:$J$1,0))*$G11&lt;=$E11),"cumple","no cumple"))))</f>
        <v/>
      </c>
      <c r="M11">
        <f>IF(ISNA(MATCH($A11,matriz_valor!$A$2:$A$26,0)),"no analizado",IF(INDEX(matriz_valor!$B$2:$J$26,MATCH($A11,matriz_valor!$A$2:$A$26,0),MATCH(M$1,matriz_valor!$B$1:$J$1,0))="","no analizado",IF(INDEX(matriz_signo!$B$2:$J$26,MATCH($A11,matriz_valor!$A$2:$A$26,0),MATCH(M$1,matriz_valor!$B$1:$J$1,0))="&lt;",IF($D11&lt;&gt;"","no concluyente",IF(INDEX(matriz_valor!$B$2:$J$26,MATCH($A11,matriz_valor!$A$2:$A$26,0),MATCH(M$1,matriz_valor!$B$1:$J$1,0))*$G11&lt;=$E11,"cumple","no concluyente")),IF(AND(OR($D11="",INDEX(matriz_valor!$B$2:$J$26,MATCH($A11,matriz_valor!$A$2:$A$26,0),MATCH(M$1,matriz_valor!$B$1:$J$1,0))*$G11&gt;=$D11),INDEX(matriz_valor!$B$2:$J$26,MATCH($A11,matriz_valor!$A$2:$A$26,0),MATCH(M$1,matriz_valor!$B$1:$J$1,0))*$G11&lt;=$E11),"cumple","no cumple"))))</f>
        <v/>
      </c>
      <c r="N11">
        <f>IF(ISNA(MATCH($A11,matriz_valor!$A$2:$A$26,0)),"no analizado",IF(INDEX(matriz_valor!$B$2:$J$26,MATCH($A11,matriz_valor!$A$2:$A$26,0),MATCH(N$1,matriz_valor!$B$1:$J$1,0))="","no analizado",IF(INDEX(matriz_signo!$B$2:$J$26,MATCH($A11,matriz_valor!$A$2:$A$26,0),MATCH(N$1,matriz_valor!$B$1:$J$1,0))="&lt;",IF($D11&lt;&gt;"","no concluyente",IF(INDEX(matriz_valor!$B$2:$J$26,MATCH($A11,matriz_valor!$A$2:$A$26,0),MATCH(N$1,matriz_valor!$B$1:$J$1,0))*$G11&lt;=$E11,"cumple","no concluyente")),IF(AND(OR($D11="",INDEX(matriz_valor!$B$2:$J$26,MATCH($A11,matriz_valor!$A$2:$A$26,0),MATCH(N$1,matriz_valor!$B$1:$J$1,0))*$G11&gt;=$D11),INDEX(matriz_valor!$B$2:$J$26,MATCH($A11,matriz_valor!$A$2:$A$26,0),MATCH(N$1,matriz_valor!$B$1:$J$1,0))*$G11&lt;=$E11),"cumple","no cumple"))))</f>
        <v/>
      </c>
      <c r="O11">
        <f>IF(ISNA(MATCH($A11,matriz_valor!$A$2:$A$26,0)),"no analizado",IF(INDEX(matriz_valor!$B$2:$J$26,MATCH($A11,matriz_valor!$A$2:$A$26,0),MATCH(O$1,matriz_valor!$B$1:$J$1,0))="","no analizado",IF(INDEX(matriz_signo!$B$2:$J$26,MATCH($A11,matriz_valor!$A$2:$A$26,0),MATCH(O$1,matriz_valor!$B$1:$J$1,0))="&lt;",IF($D11&lt;&gt;"","no concluyente",IF(INDEX(matriz_valor!$B$2:$J$26,MATCH($A11,matriz_valor!$A$2:$A$26,0),MATCH(O$1,matriz_valor!$B$1:$J$1,0))*$G11&lt;=$E11,"cumple","no concluyente")),IF(AND(OR($D11="",INDEX(matriz_valor!$B$2:$J$26,MATCH($A11,matriz_valor!$A$2:$A$26,0),MATCH(O$1,matriz_valor!$B$1:$J$1,0))*$G11&gt;=$D11),INDEX(matriz_valor!$B$2:$J$26,MATCH($A11,matriz_valor!$A$2:$A$26,0),MATCH(O$1,matriz_valor!$B$1:$J$1,0))*$G11&lt;=$E11),"cumple","no cumple"))))</f>
        <v/>
      </c>
      <c r="P11">
        <f>IF(ISNA(MATCH($A11,matriz_valor!$A$2:$A$26,0)),"no analizado",IF(INDEX(matriz_valor!$B$2:$J$26,MATCH($A11,matriz_valor!$A$2:$A$26,0),MATCH(P$1,matriz_valor!$B$1:$J$1,0))="","no analizado",IF(INDEX(matriz_signo!$B$2:$J$26,MATCH($A11,matriz_valor!$A$2:$A$26,0),MATCH(P$1,matriz_valor!$B$1:$J$1,0))="&lt;",IF($D11&lt;&gt;"","no concluyente",IF(INDEX(matriz_valor!$B$2:$J$26,MATCH($A11,matriz_valor!$A$2:$A$26,0),MATCH(P$1,matriz_valor!$B$1:$J$1,0))*$G11&lt;=$E11,"cumple","no concluyente")),IF(AND(OR($D11="",INDEX(matriz_valor!$B$2:$J$26,MATCH($A11,matriz_valor!$A$2:$A$26,0),MATCH(P$1,matriz_valor!$B$1:$J$1,0))*$G11&gt;=$D11),INDEX(matriz_valor!$B$2:$J$26,MATCH($A11,matriz_valor!$A$2:$A$26,0),MATCH(P$1,matriz_valor!$B$1:$J$1,0))*$G11&lt;=$E11),"cumple","no cumple"))))</f>
        <v/>
      </c>
    </row>
    <row r="12">
      <c r="A12" t="inlineStr">
        <is>
          <t>zinc</t>
        </is>
      </c>
      <c r="B12" t="inlineStr">
        <is>
          <t>Zinc</t>
        </is>
      </c>
      <c r="C12" t="n">
        <v>1</v>
      </c>
      <c r="E12" t="n">
        <v>3</v>
      </c>
      <c r="F12" t="inlineStr">
        <is>
          <t>mg/L Zn</t>
        </is>
      </c>
      <c r="G12" t="n">
        <v>1</v>
      </c>
      <c r="H12">
        <f>IF(ISNA(MATCH($A12,matriz_valor!$A$2:$A$26,0)),"no analizado",IF(INDEX(matriz_valor!$B$2:$J$26,MATCH($A12,matriz_valor!$A$2:$A$26,0),MATCH(H$1,matriz_valor!$B$1:$J$1,0))="","no analizado",IF(INDEX(matriz_signo!$B$2:$J$26,MATCH($A12,matriz_valor!$A$2:$A$26,0),MATCH(H$1,matriz_valor!$B$1:$J$1,0))="&lt;",IF($D12&lt;&gt;"","no concluyente",IF(INDEX(matriz_valor!$B$2:$J$26,MATCH($A12,matriz_valor!$A$2:$A$26,0),MATCH(H$1,matriz_valor!$B$1:$J$1,0))*$G12&lt;=$E12,"cumple","no concluyente")),IF(AND(OR($D12="",INDEX(matriz_valor!$B$2:$J$26,MATCH($A12,matriz_valor!$A$2:$A$26,0),MATCH(H$1,matriz_valor!$B$1:$J$1,0))*$G12&gt;=$D12),INDEX(matriz_valor!$B$2:$J$26,MATCH($A12,matriz_valor!$A$2:$A$26,0),MATCH(H$1,matriz_valor!$B$1:$J$1,0))*$G12&lt;=$E12),"cumple","no cumple"))))</f>
        <v/>
      </c>
      <c r="I12">
        <f>IF(ISNA(MATCH($A12,matriz_valor!$A$2:$A$26,0)),"no analizado",IF(INDEX(matriz_valor!$B$2:$J$26,MATCH($A12,matriz_valor!$A$2:$A$26,0),MATCH(I$1,matriz_valor!$B$1:$J$1,0))="","no analizado",IF(INDEX(matriz_signo!$B$2:$J$26,MATCH($A12,matriz_valor!$A$2:$A$26,0),MATCH(I$1,matriz_valor!$B$1:$J$1,0))="&lt;",IF($D12&lt;&gt;"","no concluyente",IF(INDEX(matriz_valor!$B$2:$J$26,MATCH($A12,matriz_valor!$A$2:$A$26,0),MATCH(I$1,matriz_valor!$B$1:$J$1,0))*$G12&lt;=$E12,"cumple","no concluyente")),IF(AND(OR($D12="",INDEX(matriz_valor!$B$2:$J$26,MATCH($A12,matriz_valor!$A$2:$A$26,0),MATCH(I$1,matriz_valor!$B$1:$J$1,0))*$G12&gt;=$D12),INDEX(matriz_valor!$B$2:$J$26,MATCH($A12,matriz_valor!$A$2:$A$26,0),MATCH(I$1,matriz_valor!$B$1:$J$1,0))*$G12&lt;=$E12),"cumple","no cumple"))))</f>
        <v/>
      </c>
      <c r="J12">
        <f>IF(ISNA(MATCH($A12,matriz_valor!$A$2:$A$26,0)),"no analizado",IF(INDEX(matriz_valor!$B$2:$J$26,MATCH($A12,matriz_valor!$A$2:$A$26,0),MATCH(J$1,matriz_valor!$B$1:$J$1,0))="","no analizado",IF(INDEX(matriz_signo!$B$2:$J$26,MATCH($A12,matriz_valor!$A$2:$A$26,0),MATCH(J$1,matriz_valor!$B$1:$J$1,0))="&lt;",IF($D12&lt;&gt;"","no concluyente",IF(INDEX(matriz_valor!$B$2:$J$26,MATCH($A12,matriz_valor!$A$2:$A$26,0),MATCH(J$1,matriz_valor!$B$1:$J$1,0))*$G12&lt;=$E12,"cumple","no concluyente")),IF(AND(OR($D12="",INDEX(matriz_valor!$B$2:$J$26,MATCH($A12,matriz_valor!$A$2:$A$26,0),MATCH(J$1,matriz_valor!$B$1:$J$1,0))*$G12&gt;=$D12),INDEX(matriz_valor!$B$2:$J$26,MATCH($A12,matriz_valor!$A$2:$A$26,0),MATCH(J$1,matriz_valor!$B$1:$J$1,0))*$G12&lt;=$E12),"cumple","no cumple"))))</f>
        <v/>
      </c>
      <c r="K12">
        <f>IF(ISNA(MATCH($A12,matriz_valor!$A$2:$A$26,0)),"no analizado",IF(INDEX(matriz_valor!$B$2:$J$26,MATCH($A12,matriz_valor!$A$2:$A$26,0),MATCH(K$1,matriz_valor!$B$1:$J$1,0))="","no analizado",IF(INDEX(matriz_signo!$B$2:$J$26,MATCH($A12,matriz_valor!$A$2:$A$26,0),MATCH(K$1,matriz_valor!$B$1:$J$1,0))="&lt;",IF($D12&lt;&gt;"","no concluyente",IF(INDEX(matriz_valor!$B$2:$J$26,MATCH($A12,matriz_valor!$A$2:$A$26,0),MATCH(K$1,matriz_valor!$B$1:$J$1,0))*$G12&lt;=$E12,"cumple","no concluyente")),IF(AND(OR($D12="",INDEX(matriz_valor!$B$2:$J$26,MATCH($A12,matriz_valor!$A$2:$A$26,0),MATCH(K$1,matriz_valor!$B$1:$J$1,0))*$G12&gt;=$D12),INDEX(matriz_valor!$B$2:$J$26,MATCH($A12,matriz_valor!$A$2:$A$26,0),MATCH(K$1,matriz_valor!$B$1:$J$1,0))*$G12&lt;=$E12),"cumple","no cumple"))))</f>
        <v/>
      </c>
      <c r="L12">
        <f>IF(ISNA(MATCH($A12,matriz_valor!$A$2:$A$26,0)),"no analizado",IF(INDEX(matriz_valor!$B$2:$J$26,MATCH($A12,matriz_valor!$A$2:$A$26,0),MATCH(L$1,matriz_valor!$B$1:$J$1,0))="","no analizado",IF(INDEX(matriz_signo!$B$2:$J$26,MATCH($A12,matriz_valor!$A$2:$A$26,0),MATCH(L$1,matriz_valor!$B$1:$J$1,0))="&lt;",IF($D12&lt;&gt;"","no concluyente",IF(INDEX(matriz_valor!$B$2:$J$26,MATCH($A12,matriz_valor!$A$2:$A$26,0),MATCH(L$1,matriz_valor!$B$1:$J$1,0))*$G12&lt;=$E12,"cumple","no concluyente")),IF(AND(OR($D12="",INDEX(matriz_valor!$B$2:$J$26,MATCH($A12,matriz_valor!$A$2:$A$26,0),MATCH(L$1,matriz_valor!$B$1:$J$1,0))*$G12&gt;=$D12),INDEX(matriz_valor!$B$2:$J$26,MATCH($A12,matriz_valor!$A$2:$A$26,0),MATCH(L$1,matriz_valor!$B$1:$J$1,0))*$G12&lt;=$E12),"cumple","no cumple"))))</f>
        <v/>
      </c>
      <c r="M12">
        <f>IF(ISNA(MATCH($A12,matriz_valor!$A$2:$A$26,0)),"no analizado",IF(INDEX(matriz_valor!$B$2:$J$26,MATCH($A12,matriz_valor!$A$2:$A$26,0),MATCH(M$1,matriz_valor!$B$1:$J$1,0))="","no analizado",IF(INDEX(matriz_signo!$B$2:$J$26,MATCH($A12,matriz_valor!$A$2:$A$26,0),MATCH(M$1,matriz_valor!$B$1:$J$1,0))="&lt;",IF($D12&lt;&gt;"","no concluyente",IF(INDEX(matriz_valor!$B$2:$J$26,MATCH($A12,matriz_valor!$A$2:$A$26,0),MATCH(M$1,matriz_valor!$B$1:$J$1,0))*$G12&lt;=$E12,"cumple","no concluyente")),IF(AND(OR($D12="",INDEX(matriz_valor!$B$2:$J$26,MATCH($A12,matriz_valor!$A$2:$A$26,0),MATCH(M$1,matriz_valor!$B$1:$J$1,0))*$G12&gt;=$D12),INDEX(matriz_valor!$B$2:$J$26,MATCH($A12,matriz_valor!$A$2:$A$26,0),MATCH(M$1,matriz_valor!$B$1:$J$1,0))*$G12&lt;=$E12),"cumple","no cumple"))))</f>
        <v/>
      </c>
      <c r="N12">
        <f>IF(ISNA(MATCH($A12,matriz_valor!$A$2:$A$26,0)),"no analizado",IF(INDEX(matriz_valor!$B$2:$J$26,MATCH($A12,matriz_valor!$A$2:$A$26,0),MATCH(N$1,matriz_valor!$B$1:$J$1,0))="","no analizado",IF(INDEX(matriz_signo!$B$2:$J$26,MATCH($A12,matriz_valor!$A$2:$A$26,0),MATCH(N$1,matriz_valor!$B$1:$J$1,0))="&lt;",IF($D12&lt;&gt;"","no concluyente",IF(INDEX(matriz_valor!$B$2:$J$26,MATCH($A12,matriz_valor!$A$2:$A$26,0),MATCH(N$1,matriz_valor!$B$1:$J$1,0))*$G12&lt;=$E12,"cumple","no concluyente")),IF(AND(OR($D12="",INDEX(matriz_valor!$B$2:$J$26,MATCH($A12,matriz_valor!$A$2:$A$26,0),MATCH(N$1,matriz_valor!$B$1:$J$1,0))*$G12&gt;=$D12),INDEX(matriz_valor!$B$2:$J$26,MATCH($A12,matriz_valor!$A$2:$A$26,0),MATCH(N$1,matriz_valor!$B$1:$J$1,0))*$G12&lt;=$E12),"cumple","no cumple"))))</f>
        <v/>
      </c>
      <c r="O12">
        <f>IF(ISNA(MATCH($A12,matriz_valor!$A$2:$A$26,0)),"no analizado",IF(INDEX(matriz_valor!$B$2:$J$26,MATCH($A12,matriz_valor!$A$2:$A$26,0),MATCH(O$1,matriz_valor!$B$1:$J$1,0))="","no analizado",IF(INDEX(matriz_signo!$B$2:$J$26,MATCH($A12,matriz_valor!$A$2:$A$26,0),MATCH(O$1,matriz_valor!$B$1:$J$1,0))="&lt;",IF($D12&lt;&gt;"","no concluyente",IF(INDEX(matriz_valor!$B$2:$J$26,MATCH($A12,matriz_valor!$A$2:$A$26,0),MATCH(O$1,matriz_valor!$B$1:$J$1,0))*$G12&lt;=$E12,"cumple","no concluyente")),IF(AND(OR($D12="",INDEX(matriz_valor!$B$2:$J$26,MATCH($A12,matriz_valor!$A$2:$A$26,0),MATCH(O$1,matriz_valor!$B$1:$J$1,0))*$G12&gt;=$D12),INDEX(matriz_valor!$B$2:$J$26,MATCH($A12,matriz_valor!$A$2:$A$26,0),MATCH(O$1,matriz_valor!$B$1:$J$1,0))*$G12&lt;=$E12),"cumple","no cumple"))))</f>
        <v/>
      </c>
      <c r="P12">
        <f>IF(ISNA(MATCH($A12,matriz_valor!$A$2:$A$26,0)),"no analizado",IF(INDEX(matriz_valor!$B$2:$J$26,MATCH($A12,matriz_valor!$A$2:$A$26,0),MATCH(P$1,matriz_valor!$B$1:$J$1,0))="","no analizado",IF(INDEX(matriz_signo!$B$2:$J$26,MATCH($A12,matriz_valor!$A$2:$A$26,0),MATCH(P$1,matriz_valor!$B$1:$J$1,0))="&lt;",IF($D12&lt;&gt;"","no concluyente",IF(INDEX(matriz_valor!$B$2:$J$26,MATCH($A12,matriz_valor!$A$2:$A$26,0),MATCH(P$1,matriz_valor!$B$1:$J$1,0))*$G12&lt;=$E12,"cumple","no concluyente")),IF(AND(OR($D12="",INDEX(matriz_valor!$B$2:$J$26,MATCH($A12,matriz_valor!$A$2:$A$26,0),MATCH(P$1,matriz_valor!$B$1:$J$1,0))*$G12&gt;=$D12),INDEX(matriz_valor!$B$2:$J$26,MATCH($A12,matriz_valor!$A$2:$A$26,0),MATCH(P$1,matriz_valor!$B$1:$J$1,0))*$G12&lt;=$E12),"cumple","no cumple"))))</f>
        <v/>
      </c>
    </row>
    <row r="13">
      <c r="A13" t="inlineStr">
        <is>
          <t>dureza_total</t>
        </is>
      </c>
      <c r="B13" t="inlineStr">
        <is>
          <t>Dureza total</t>
        </is>
      </c>
      <c r="C13" t="n">
        <v>1</v>
      </c>
      <c r="E13" t="n">
        <v>300</v>
      </c>
      <c r="F13" t="inlineStr">
        <is>
          <t>mg/L CaCO3</t>
        </is>
      </c>
      <c r="G13" t="n">
        <v>1</v>
      </c>
      <c r="H13">
        <f>IF(ISNA(MATCH($A13,matriz_valor!$A$2:$A$26,0)),"no analizado",IF(INDEX(matriz_valor!$B$2:$J$26,MATCH($A13,matriz_valor!$A$2:$A$26,0),MATCH(H$1,matriz_valor!$B$1:$J$1,0))="","no analizado",IF(INDEX(matriz_signo!$B$2:$J$26,MATCH($A13,matriz_valor!$A$2:$A$26,0),MATCH(H$1,matriz_valor!$B$1:$J$1,0))="&lt;",IF($D13&lt;&gt;"","no concluyente",IF(INDEX(matriz_valor!$B$2:$J$26,MATCH($A13,matriz_valor!$A$2:$A$26,0),MATCH(H$1,matriz_valor!$B$1:$J$1,0))*$G13&lt;=$E13,"cumple","no concluyente")),IF(AND(OR($D13="",INDEX(matriz_valor!$B$2:$J$26,MATCH($A13,matriz_valor!$A$2:$A$26,0),MATCH(H$1,matriz_valor!$B$1:$J$1,0))*$G13&gt;=$D13),INDEX(matriz_valor!$B$2:$J$26,MATCH($A13,matriz_valor!$A$2:$A$26,0),MATCH(H$1,matriz_valor!$B$1:$J$1,0))*$G13&lt;=$E13),"cumple","no cumple"))))</f>
        <v/>
      </c>
      <c r="I13">
        <f>IF(ISNA(MATCH($A13,matriz_valor!$A$2:$A$26,0)),"no analizado",IF(INDEX(matriz_valor!$B$2:$J$26,MATCH($A13,matriz_valor!$A$2:$A$26,0),MATCH(I$1,matriz_valor!$B$1:$J$1,0))="","no analizado",IF(INDEX(matriz_signo!$B$2:$J$26,MATCH($A13,matriz_valor!$A$2:$A$26,0),MATCH(I$1,matriz_valor!$B$1:$J$1,0))="&lt;",IF($D13&lt;&gt;"","no concluyente",IF(INDEX(matriz_valor!$B$2:$J$26,MATCH($A13,matriz_valor!$A$2:$A$26,0),MATCH(I$1,matriz_valor!$B$1:$J$1,0))*$G13&lt;=$E13,"cumple","no concluyente")),IF(AND(OR($D13="",INDEX(matriz_valor!$B$2:$J$26,MATCH($A13,matriz_valor!$A$2:$A$26,0),MATCH(I$1,matriz_valor!$B$1:$J$1,0))*$G13&gt;=$D13),INDEX(matriz_valor!$B$2:$J$26,MATCH($A13,matriz_valor!$A$2:$A$26,0),MATCH(I$1,matriz_valor!$B$1:$J$1,0))*$G13&lt;=$E13),"cumple","no cumple"))))</f>
        <v/>
      </c>
      <c r="J13">
        <f>IF(ISNA(MATCH($A13,matriz_valor!$A$2:$A$26,0)),"no analizado",IF(INDEX(matriz_valor!$B$2:$J$26,MATCH($A13,matriz_valor!$A$2:$A$26,0),MATCH(J$1,matriz_valor!$B$1:$J$1,0))="","no analizado",IF(INDEX(matriz_signo!$B$2:$J$26,MATCH($A13,matriz_valor!$A$2:$A$26,0),MATCH(J$1,matriz_valor!$B$1:$J$1,0))="&lt;",IF($D13&lt;&gt;"","no concluyente",IF(INDEX(matriz_valor!$B$2:$J$26,MATCH($A13,matriz_valor!$A$2:$A$26,0),MATCH(J$1,matriz_valor!$B$1:$J$1,0))*$G13&lt;=$E13,"cumple","no concluyente")),IF(AND(OR($D13="",INDEX(matriz_valor!$B$2:$J$26,MATCH($A13,matriz_valor!$A$2:$A$26,0),MATCH(J$1,matriz_valor!$B$1:$J$1,0))*$G13&gt;=$D13),INDEX(matriz_valor!$B$2:$J$26,MATCH($A13,matriz_valor!$A$2:$A$26,0),MATCH(J$1,matriz_valor!$B$1:$J$1,0))*$G13&lt;=$E13),"cumple","no cumple"))))</f>
        <v/>
      </c>
      <c r="K13">
        <f>IF(ISNA(MATCH($A13,matriz_valor!$A$2:$A$26,0)),"no analizado",IF(INDEX(matriz_valor!$B$2:$J$26,MATCH($A13,matriz_valor!$A$2:$A$26,0),MATCH(K$1,matriz_valor!$B$1:$J$1,0))="","no analizado",IF(INDEX(matriz_signo!$B$2:$J$26,MATCH($A13,matriz_valor!$A$2:$A$26,0),MATCH(K$1,matriz_valor!$B$1:$J$1,0))="&lt;",IF($D13&lt;&gt;"","no concluyente",IF(INDEX(matriz_valor!$B$2:$J$26,MATCH($A13,matriz_valor!$A$2:$A$26,0),MATCH(K$1,matriz_valor!$B$1:$J$1,0))*$G13&lt;=$E13,"cumple","no concluyente")),IF(AND(OR($D13="",INDEX(matriz_valor!$B$2:$J$26,MATCH($A13,matriz_valor!$A$2:$A$26,0),MATCH(K$1,matriz_valor!$B$1:$J$1,0))*$G13&gt;=$D13),INDEX(matriz_valor!$B$2:$J$26,MATCH($A13,matriz_valor!$A$2:$A$26,0),MATCH(K$1,matriz_valor!$B$1:$J$1,0))*$G13&lt;=$E13),"cumple","no cumple"))))</f>
        <v/>
      </c>
      <c r="L13">
        <f>IF(ISNA(MATCH($A13,matriz_valor!$A$2:$A$26,0)),"no analizado",IF(INDEX(matriz_valor!$B$2:$J$26,MATCH($A13,matriz_valor!$A$2:$A$26,0),MATCH(L$1,matriz_valor!$B$1:$J$1,0))="","no analizado",IF(INDEX(matriz_signo!$B$2:$J$26,MATCH($A13,matriz_valor!$A$2:$A$26,0),MATCH(L$1,matriz_valor!$B$1:$J$1,0))="&lt;",IF($D13&lt;&gt;"","no concluyente",IF(INDEX(matriz_valor!$B$2:$J$26,MATCH($A13,matriz_valor!$A$2:$A$26,0),MATCH(L$1,matriz_valor!$B$1:$J$1,0))*$G13&lt;=$E13,"cumple","no concluyente")),IF(AND(OR($D13="",INDEX(matriz_valor!$B$2:$J$26,MATCH($A13,matriz_valor!$A$2:$A$26,0),MATCH(L$1,matriz_valor!$B$1:$J$1,0))*$G13&gt;=$D13),INDEX(matriz_valor!$B$2:$J$26,MATCH($A13,matriz_valor!$A$2:$A$26,0),MATCH(L$1,matriz_valor!$B$1:$J$1,0))*$G13&lt;=$E13),"cumple","no cumple"))))</f>
        <v/>
      </c>
      <c r="M13">
        <f>IF(ISNA(MATCH($A13,matriz_valor!$A$2:$A$26,0)),"no analizado",IF(INDEX(matriz_valor!$B$2:$J$26,MATCH($A13,matriz_valor!$A$2:$A$26,0),MATCH(M$1,matriz_valor!$B$1:$J$1,0))="","no analizado",IF(INDEX(matriz_signo!$B$2:$J$26,MATCH($A13,matriz_valor!$A$2:$A$26,0),MATCH(M$1,matriz_valor!$B$1:$J$1,0))="&lt;",IF($D13&lt;&gt;"","no concluyente",IF(INDEX(matriz_valor!$B$2:$J$26,MATCH($A13,matriz_valor!$A$2:$A$26,0),MATCH(M$1,matriz_valor!$B$1:$J$1,0))*$G13&lt;=$E13,"cumple","no concluyente")),IF(AND(OR($D13="",INDEX(matriz_valor!$B$2:$J$26,MATCH($A13,matriz_valor!$A$2:$A$26,0),MATCH(M$1,matriz_valor!$B$1:$J$1,0))*$G13&gt;=$D13),INDEX(matriz_valor!$B$2:$J$26,MATCH($A13,matriz_valor!$A$2:$A$26,0),MATCH(M$1,matriz_valor!$B$1:$J$1,0))*$G13&lt;=$E13),"cumple","no cumple"))))</f>
        <v/>
      </c>
      <c r="N13">
        <f>IF(ISNA(MATCH($A13,matriz_valor!$A$2:$A$26,0)),"no analizado",IF(INDEX(matriz_valor!$B$2:$J$26,MATCH($A13,matriz_valor!$A$2:$A$26,0),MATCH(N$1,matriz_valor!$B$1:$J$1,0))="","no analizado",IF(INDEX(matriz_signo!$B$2:$J$26,MATCH($A13,matriz_valor!$A$2:$A$26,0),MATCH(N$1,matriz_valor!$B$1:$J$1,0))="&lt;",IF($D13&lt;&gt;"","no concluyente",IF(INDEX(matriz_valor!$B$2:$J$26,MATCH($A13,matriz_valor!$A$2:$A$26,0),MATCH(N$1,matriz_valor!$B$1:$J$1,0))*$G13&lt;=$E13,"cumple","no concluyente")),IF(AND(OR($D13="",INDEX(matriz_valor!$B$2:$J$26,MATCH($A13,matriz_valor!$A$2:$A$26,0),MATCH(N$1,matriz_valor!$B$1:$J$1,0))*$G13&gt;=$D13),INDEX(matriz_valor!$B$2:$J$26,MATCH($A13,matriz_valor!$A$2:$A$26,0),MATCH(N$1,matriz_valor!$B$1:$J$1,0))*$G13&lt;=$E13),"cumple","no cumple"))))</f>
        <v/>
      </c>
      <c r="O13">
        <f>IF(ISNA(MATCH($A13,matriz_valor!$A$2:$A$26,0)),"no analizado",IF(INDEX(matriz_valor!$B$2:$J$26,MATCH($A13,matriz_valor!$A$2:$A$26,0),MATCH(O$1,matriz_valor!$B$1:$J$1,0))="","no analizado",IF(INDEX(matriz_signo!$B$2:$J$26,MATCH($A13,matriz_valor!$A$2:$A$26,0),MATCH(O$1,matriz_valor!$B$1:$J$1,0))="&lt;",IF($D13&lt;&gt;"","no concluyente",IF(INDEX(matriz_valor!$B$2:$J$26,MATCH($A13,matriz_valor!$A$2:$A$26,0),MATCH(O$1,matriz_valor!$B$1:$J$1,0))*$G13&lt;=$E13,"cumple","no concluyente")),IF(AND(OR($D13="",INDEX(matriz_valor!$B$2:$J$26,MATCH($A13,matriz_valor!$A$2:$A$26,0),MATCH(O$1,matriz_valor!$B$1:$J$1,0))*$G13&gt;=$D13),INDEX(matriz_valor!$B$2:$J$26,MATCH($A13,matriz_valor!$A$2:$A$26,0),MATCH(O$1,matriz_valor!$B$1:$J$1,0))*$G13&lt;=$E13),"cumple","no cumple"))))</f>
        <v/>
      </c>
      <c r="P13">
        <f>IF(ISNA(MATCH($A13,matriz_valor!$A$2:$A$26,0)),"no analizado",IF(INDEX(matriz_valor!$B$2:$J$26,MATCH($A13,matriz_valor!$A$2:$A$26,0),MATCH(P$1,matriz_valor!$B$1:$J$1,0))="","no analizado",IF(INDEX(matriz_signo!$B$2:$J$26,MATCH($A13,matriz_valor!$A$2:$A$26,0),MATCH(P$1,matriz_valor!$B$1:$J$1,0))="&lt;",IF($D13&lt;&gt;"","no concluyente",IF(INDEX(matriz_valor!$B$2:$J$26,MATCH($A13,matriz_valor!$A$2:$A$26,0),MATCH(P$1,matriz_valor!$B$1:$J$1,0))*$G13&lt;=$E13,"cumple","no concluyente")),IF(AND(OR($D13="",INDEX(matriz_valor!$B$2:$J$26,MATCH($A13,matriz_valor!$A$2:$A$26,0),MATCH(P$1,matriz_valor!$B$1:$J$1,0))*$G13&gt;=$D13),INDEX(matriz_valor!$B$2:$J$26,MATCH($A13,matriz_valor!$A$2:$A$26,0),MATCH(P$1,matriz_valor!$B$1:$J$1,0))*$G13&lt;=$E13),"cumple","no cumple"))))</f>
        <v/>
      </c>
    </row>
    <row r="14">
      <c r="A14" t="inlineStr">
        <is>
          <t>sulfatos</t>
        </is>
      </c>
      <c r="B14" t="inlineStr">
        <is>
          <t>Sulfatos</t>
        </is>
      </c>
      <c r="C14" t="n">
        <v>1</v>
      </c>
      <c r="E14" t="n">
        <v>250</v>
      </c>
      <c r="F14" t="inlineStr">
        <is>
          <t>mg/L SO4</t>
        </is>
      </c>
      <c r="G14" t="n">
        <v>1</v>
      </c>
      <c r="H14">
        <f>IF(ISNA(MATCH($A14,matriz_valor!$A$2:$A$26,0)),"no analizado",IF(INDEX(matriz_valor!$B$2:$J$26,MATCH($A14,matriz_valor!$A$2:$A$26,0),MATCH(H$1,matriz_valor!$B$1:$J$1,0))="","no analizado",IF(INDEX(matriz_signo!$B$2:$J$26,MATCH($A14,matriz_valor!$A$2:$A$26,0),MATCH(H$1,matriz_valor!$B$1:$J$1,0))="&lt;",IF($D14&lt;&gt;"","no concluyente",IF(INDEX(matriz_valor!$B$2:$J$26,MATCH($A14,matriz_valor!$A$2:$A$26,0),MATCH(H$1,matriz_valor!$B$1:$J$1,0))*$G14&lt;=$E14,"cumple","no concluyente")),IF(AND(OR($D14="",INDEX(matriz_valor!$B$2:$J$26,MATCH($A14,matriz_valor!$A$2:$A$26,0),MATCH(H$1,matriz_valor!$B$1:$J$1,0))*$G14&gt;=$D14),INDEX(matriz_valor!$B$2:$J$26,MATCH($A14,matriz_valor!$A$2:$A$26,0),MATCH(H$1,matriz_valor!$B$1:$J$1,0))*$G14&lt;=$E14),"cumple","no cumple"))))</f>
        <v/>
      </c>
      <c r="I14">
        <f>IF(ISNA(MATCH($A14,matriz_valor!$A$2:$A$26,0)),"no analizado",IF(INDEX(matriz_valor!$B$2:$J$26,MATCH($A14,matriz_valor!$A$2:$A$26,0),MATCH(I$1,matriz_valor!$B$1:$J$1,0))="","no analizado",IF(INDEX(matriz_signo!$B$2:$J$26,MATCH($A14,matriz_valor!$A$2:$A$26,0),MATCH(I$1,matriz_valor!$B$1:$J$1,0))="&lt;",IF($D14&lt;&gt;"","no concluyente",IF(INDEX(matriz_valor!$B$2:$J$26,MATCH($A14,matriz_valor!$A$2:$A$26,0),MATCH(I$1,matriz_valor!$B$1:$J$1,0))*$G14&lt;=$E14,"cumple","no concluyente")),IF(AND(OR($D14="",INDEX(matriz_valor!$B$2:$J$26,MATCH($A14,matriz_valor!$A$2:$A$26,0),MATCH(I$1,matriz_valor!$B$1:$J$1,0))*$G14&gt;=$D14),INDEX(matriz_valor!$B$2:$J$26,MATCH($A14,matriz_valor!$A$2:$A$26,0),MATCH(I$1,matriz_valor!$B$1:$J$1,0))*$G14&lt;=$E14),"cumple","no cumple"))))</f>
        <v/>
      </c>
      <c r="J14">
        <f>IF(ISNA(MATCH($A14,matriz_valor!$A$2:$A$26,0)),"no analizado",IF(INDEX(matriz_valor!$B$2:$J$26,MATCH($A14,matriz_valor!$A$2:$A$26,0),MATCH(J$1,matriz_valor!$B$1:$J$1,0))="","no analizado",IF(INDEX(matriz_signo!$B$2:$J$26,MATCH($A14,matriz_valor!$A$2:$A$26,0),MATCH(J$1,matriz_valor!$B$1:$J$1,0))="&lt;",IF($D14&lt;&gt;"","no concluyente",IF(INDEX(matriz_valor!$B$2:$J$26,MATCH($A14,matriz_valor!$A$2:$A$26,0),MATCH(J$1,matriz_valor!$B$1:$J$1,0))*$G14&lt;=$E14,"cumple","no concluyente")),IF(AND(OR($D14="",INDEX(matriz_valor!$B$2:$J$26,MATCH($A14,matriz_valor!$A$2:$A$26,0),MATCH(J$1,matriz_valor!$B$1:$J$1,0))*$G14&gt;=$D14),INDEX(matriz_valor!$B$2:$J$26,MATCH($A14,matriz_valor!$A$2:$A$26,0),MATCH(J$1,matriz_valor!$B$1:$J$1,0))*$G14&lt;=$E14),"cumple","no cumple"))))</f>
        <v/>
      </c>
      <c r="K14">
        <f>IF(ISNA(MATCH($A14,matriz_valor!$A$2:$A$26,0)),"no analizado",IF(INDEX(matriz_valor!$B$2:$J$26,MATCH($A14,matriz_valor!$A$2:$A$26,0),MATCH(K$1,matriz_valor!$B$1:$J$1,0))="","no analizado",IF(INDEX(matriz_signo!$B$2:$J$26,MATCH($A14,matriz_valor!$A$2:$A$26,0),MATCH(K$1,matriz_valor!$B$1:$J$1,0))="&lt;",IF($D14&lt;&gt;"","no concluyente",IF(INDEX(matriz_valor!$B$2:$J$26,MATCH($A14,matriz_valor!$A$2:$A$26,0),MATCH(K$1,matriz_valor!$B$1:$J$1,0))*$G14&lt;=$E14,"cumple","no concluyente")),IF(AND(OR($D14="",INDEX(matriz_valor!$B$2:$J$26,MATCH($A14,matriz_valor!$A$2:$A$26,0),MATCH(K$1,matriz_valor!$B$1:$J$1,0))*$G14&gt;=$D14),INDEX(matriz_valor!$B$2:$J$26,MATCH($A14,matriz_valor!$A$2:$A$26,0),MATCH(K$1,matriz_valor!$B$1:$J$1,0))*$G14&lt;=$E14),"cumple","no cumple"))))</f>
        <v/>
      </c>
      <c r="L14">
        <f>IF(ISNA(MATCH($A14,matriz_valor!$A$2:$A$26,0)),"no analizado",IF(INDEX(matriz_valor!$B$2:$J$26,MATCH($A14,matriz_valor!$A$2:$A$26,0),MATCH(L$1,matriz_valor!$B$1:$J$1,0))="","no analizado",IF(INDEX(matriz_signo!$B$2:$J$26,MATCH($A14,matriz_valor!$A$2:$A$26,0),MATCH(L$1,matriz_valor!$B$1:$J$1,0))="&lt;",IF($D14&lt;&gt;"","no concluyente",IF(INDEX(matriz_valor!$B$2:$J$26,MATCH($A14,matriz_valor!$A$2:$A$26,0),MATCH(L$1,matriz_valor!$B$1:$J$1,0))*$G14&lt;=$E14,"cumple","no concluyente")),IF(AND(OR($D14="",INDEX(matriz_valor!$B$2:$J$26,MATCH($A14,matriz_valor!$A$2:$A$26,0),MATCH(L$1,matriz_valor!$B$1:$J$1,0))*$G14&gt;=$D14),INDEX(matriz_valor!$B$2:$J$26,MATCH($A14,matriz_valor!$A$2:$A$26,0),MATCH(L$1,matriz_valor!$B$1:$J$1,0))*$G14&lt;=$E14),"cumple","no cumple"))))</f>
        <v/>
      </c>
      <c r="M14">
        <f>IF(ISNA(MATCH($A14,matriz_valor!$A$2:$A$26,0)),"no analizado",IF(INDEX(matriz_valor!$B$2:$J$26,MATCH($A14,matriz_valor!$A$2:$A$26,0),MATCH(M$1,matriz_valor!$B$1:$J$1,0))="","no analizado",IF(INDEX(matriz_signo!$B$2:$J$26,MATCH($A14,matriz_valor!$A$2:$A$26,0),MATCH(M$1,matriz_valor!$B$1:$J$1,0))="&lt;",IF($D14&lt;&gt;"","no concluyente",IF(INDEX(matriz_valor!$B$2:$J$26,MATCH($A14,matriz_valor!$A$2:$A$26,0),MATCH(M$1,matriz_valor!$B$1:$J$1,0))*$G14&lt;=$E14,"cumple","no concluyente")),IF(AND(OR($D14="",INDEX(matriz_valor!$B$2:$J$26,MATCH($A14,matriz_valor!$A$2:$A$26,0),MATCH(M$1,matriz_valor!$B$1:$J$1,0))*$G14&gt;=$D14),INDEX(matriz_valor!$B$2:$J$26,MATCH($A14,matriz_valor!$A$2:$A$26,0),MATCH(M$1,matriz_valor!$B$1:$J$1,0))*$G14&lt;=$E14),"cumple","no cumple"))))</f>
        <v/>
      </c>
      <c r="N14">
        <f>IF(ISNA(MATCH($A14,matriz_valor!$A$2:$A$26,0)),"no analizado",IF(INDEX(matriz_valor!$B$2:$J$26,MATCH($A14,matriz_valor!$A$2:$A$26,0),MATCH(N$1,matriz_valor!$B$1:$J$1,0))="","no analizado",IF(INDEX(matriz_signo!$B$2:$J$26,MATCH($A14,matriz_valor!$A$2:$A$26,0),MATCH(N$1,matriz_valor!$B$1:$J$1,0))="&lt;",IF($D14&lt;&gt;"","no concluyente",IF(INDEX(matriz_valor!$B$2:$J$26,MATCH($A14,matriz_valor!$A$2:$A$26,0),MATCH(N$1,matriz_valor!$B$1:$J$1,0))*$G14&lt;=$E14,"cumple","no concluyente")),IF(AND(OR($D14="",INDEX(matriz_valor!$B$2:$J$26,MATCH($A14,matriz_valor!$A$2:$A$26,0),MATCH(N$1,matriz_valor!$B$1:$J$1,0))*$G14&gt;=$D14),INDEX(matriz_valor!$B$2:$J$26,MATCH($A14,matriz_valor!$A$2:$A$26,0),MATCH(N$1,matriz_valor!$B$1:$J$1,0))*$G14&lt;=$E14),"cumple","no cumple"))))</f>
        <v/>
      </c>
      <c r="O14">
        <f>IF(ISNA(MATCH($A14,matriz_valor!$A$2:$A$26,0)),"no analizado",IF(INDEX(matriz_valor!$B$2:$J$26,MATCH($A14,matriz_valor!$A$2:$A$26,0),MATCH(O$1,matriz_valor!$B$1:$J$1,0))="","no analizado",IF(INDEX(matriz_signo!$B$2:$J$26,MATCH($A14,matriz_valor!$A$2:$A$26,0),MATCH(O$1,matriz_valor!$B$1:$J$1,0))="&lt;",IF($D14&lt;&gt;"","no concluyente",IF(INDEX(matriz_valor!$B$2:$J$26,MATCH($A14,matriz_valor!$A$2:$A$26,0),MATCH(O$1,matriz_valor!$B$1:$J$1,0))*$G14&lt;=$E14,"cumple","no concluyente")),IF(AND(OR($D14="",INDEX(matriz_valor!$B$2:$J$26,MATCH($A14,matriz_valor!$A$2:$A$26,0),MATCH(O$1,matriz_valor!$B$1:$J$1,0))*$G14&gt;=$D14),INDEX(matriz_valor!$B$2:$J$26,MATCH($A14,matriz_valor!$A$2:$A$26,0),MATCH(O$1,matriz_valor!$B$1:$J$1,0))*$G14&lt;=$E14),"cumple","no cumple"))))</f>
        <v/>
      </c>
      <c r="P14">
        <f>IF(ISNA(MATCH($A14,matriz_valor!$A$2:$A$26,0)),"no analizado",IF(INDEX(matriz_valor!$B$2:$J$26,MATCH($A14,matriz_valor!$A$2:$A$26,0),MATCH(P$1,matriz_valor!$B$1:$J$1,0))="","no analizado",IF(INDEX(matriz_signo!$B$2:$J$26,MATCH($A14,matriz_valor!$A$2:$A$26,0),MATCH(P$1,matriz_valor!$B$1:$J$1,0))="&lt;",IF($D14&lt;&gt;"","no concluyente",IF(INDEX(matriz_valor!$B$2:$J$26,MATCH($A14,matriz_valor!$A$2:$A$26,0),MATCH(P$1,matriz_valor!$B$1:$J$1,0))*$G14&lt;=$E14,"cumple","no concluyente")),IF(AND(OR($D14="",INDEX(matriz_valor!$B$2:$J$26,MATCH($A14,matriz_valor!$A$2:$A$26,0),MATCH(P$1,matriz_valor!$B$1:$J$1,0))*$G14&gt;=$D14),INDEX(matriz_valor!$B$2:$J$26,MATCH($A14,matriz_valor!$A$2:$A$26,0),MATCH(P$1,matriz_valor!$B$1:$J$1,0))*$G14&lt;=$E14),"cumple","no cumple"))))</f>
        <v/>
      </c>
    </row>
    <row r="15">
      <c r="A15" t="inlineStr">
        <is>
          <t>hierro</t>
        </is>
      </c>
      <c r="B15" t="inlineStr">
        <is>
          <t>Hierro total</t>
        </is>
      </c>
      <c r="C15" t="n">
        <v>1.5</v>
      </c>
      <c r="E15" t="n">
        <v>0.3</v>
      </c>
      <c r="F15" t="inlineStr">
        <is>
          <t>mg/L Fe</t>
        </is>
      </c>
      <c r="G15" t="n">
        <v>1</v>
      </c>
      <c r="H15">
        <f>IF(ISNA(MATCH($A15,matriz_valor!$A$2:$A$26,0)),"no analizado",IF(INDEX(matriz_valor!$B$2:$J$26,MATCH($A15,matriz_valor!$A$2:$A$26,0),MATCH(H$1,matriz_valor!$B$1:$J$1,0))="","no analizado",IF(INDEX(matriz_signo!$B$2:$J$26,MATCH($A15,matriz_valor!$A$2:$A$26,0),MATCH(H$1,matriz_valor!$B$1:$J$1,0))="&lt;",IF($D15&lt;&gt;"","no concluyente",IF(INDEX(matriz_valor!$B$2:$J$26,MATCH($A15,matriz_valor!$A$2:$A$26,0),MATCH(H$1,matriz_valor!$B$1:$J$1,0))*$G15&lt;=$E15,"cumple","no concluyente")),IF(AND(OR($D15="",INDEX(matriz_valor!$B$2:$J$26,MATCH($A15,matriz_valor!$A$2:$A$26,0),MATCH(H$1,matriz_valor!$B$1:$J$1,0))*$G15&gt;=$D15),INDEX(matriz_valor!$B$2:$J$26,MATCH($A15,matriz_valor!$A$2:$A$26,0),MATCH(H$1,matriz_valor!$B$1:$J$1,0))*$G15&lt;=$E15),"cumple","no cumple"))))</f>
        <v/>
      </c>
      <c r="I15">
        <f>IF(ISNA(MATCH($A15,matriz_valor!$A$2:$A$26,0)),"no analizado",IF(INDEX(matriz_valor!$B$2:$J$26,MATCH($A15,matriz_valor!$A$2:$A$26,0),MATCH(I$1,matriz_valor!$B$1:$J$1,0))="","no analizado",IF(INDEX(matriz_signo!$B$2:$J$26,MATCH($A15,matriz_valor!$A$2:$A$26,0),MATCH(I$1,matriz_valor!$B$1:$J$1,0))="&lt;",IF($D15&lt;&gt;"","no concluyente",IF(INDEX(matriz_valor!$B$2:$J$26,MATCH($A15,matriz_valor!$A$2:$A$26,0),MATCH(I$1,matriz_valor!$B$1:$J$1,0))*$G15&lt;=$E15,"cumple","no concluyente")),IF(AND(OR($D15="",INDEX(matriz_valor!$B$2:$J$26,MATCH($A15,matriz_valor!$A$2:$A$26,0),MATCH(I$1,matriz_valor!$B$1:$J$1,0))*$G15&gt;=$D15),INDEX(matriz_valor!$B$2:$J$26,MATCH($A15,matriz_valor!$A$2:$A$26,0),MATCH(I$1,matriz_valor!$B$1:$J$1,0))*$G15&lt;=$E15),"cumple","no cumple"))))</f>
        <v/>
      </c>
      <c r="J15">
        <f>IF(ISNA(MATCH($A15,matriz_valor!$A$2:$A$26,0)),"no analizado",IF(INDEX(matriz_valor!$B$2:$J$26,MATCH($A15,matriz_valor!$A$2:$A$26,0),MATCH(J$1,matriz_valor!$B$1:$J$1,0))="","no analizado",IF(INDEX(matriz_signo!$B$2:$J$26,MATCH($A15,matriz_valor!$A$2:$A$26,0),MATCH(J$1,matriz_valor!$B$1:$J$1,0))="&lt;",IF($D15&lt;&gt;"","no concluyente",IF(INDEX(matriz_valor!$B$2:$J$26,MATCH($A15,matriz_valor!$A$2:$A$26,0),MATCH(J$1,matriz_valor!$B$1:$J$1,0))*$G15&lt;=$E15,"cumple","no concluyente")),IF(AND(OR($D15="",INDEX(matriz_valor!$B$2:$J$26,MATCH($A15,matriz_valor!$A$2:$A$26,0),MATCH(J$1,matriz_valor!$B$1:$J$1,0))*$G15&gt;=$D15),INDEX(matriz_valor!$B$2:$J$26,MATCH($A15,matriz_valor!$A$2:$A$26,0),MATCH(J$1,matriz_valor!$B$1:$J$1,0))*$G15&lt;=$E15),"cumple","no cumple"))))</f>
        <v/>
      </c>
      <c r="K15">
        <f>IF(ISNA(MATCH($A15,matriz_valor!$A$2:$A$26,0)),"no analizado",IF(INDEX(matriz_valor!$B$2:$J$26,MATCH($A15,matriz_valor!$A$2:$A$26,0),MATCH(K$1,matriz_valor!$B$1:$J$1,0))="","no analizado",IF(INDEX(matriz_signo!$B$2:$J$26,MATCH($A15,matriz_valor!$A$2:$A$26,0),MATCH(K$1,matriz_valor!$B$1:$J$1,0))="&lt;",IF($D15&lt;&gt;"","no concluyente",IF(INDEX(matriz_valor!$B$2:$J$26,MATCH($A15,matriz_valor!$A$2:$A$26,0),MATCH(K$1,matriz_valor!$B$1:$J$1,0))*$G15&lt;=$E15,"cumple","no concluyente")),IF(AND(OR($D15="",INDEX(matriz_valor!$B$2:$J$26,MATCH($A15,matriz_valor!$A$2:$A$26,0),MATCH(K$1,matriz_valor!$B$1:$J$1,0))*$G15&gt;=$D15),INDEX(matriz_valor!$B$2:$J$26,MATCH($A15,matriz_valor!$A$2:$A$26,0),MATCH(K$1,matriz_valor!$B$1:$J$1,0))*$G15&lt;=$E15),"cumple","no cumple"))))</f>
        <v/>
      </c>
      <c r="L15">
        <f>IF(ISNA(MATCH($A15,matriz_valor!$A$2:$A$26,0)),"no analizado",IF(INDEX(matriz_valor!$B$2:$J$26,MATCH($A15,matriz_valor!$A$2:$A$26,0),MATCH(L$1,matriz_valor!$B$1:$J$1,0))="","no analizado",IF(INDEX(matriz_signo!$B$2:$J$26,MATCH($A15,matriz_valor!$A$2:$A$26,0),MATCH(L$1,matriz_valor!$B$1:$J$1,0))="&lt;",IF($D15&lt;&gt;"","no concluyente",IF(INDEX(matriz_valor!$B$2:$J$26,MATCH($A15,matriz_valor!$A$2:$A$26,0),MATCH(L$1,matriz_valor!$B$1:$J$1,0))*$G15&lt;=$E15,"cumple","no concluyente")),IF(AND(OR($D15="",INDEX(matriz_valor!$B$2:$J$26,MATCH($A15,matriz_valor!$A$2:$A$26,0),MATCH(L$1,matriz_valor!$B$1:$J$1,0))*$G15&gt;=$D15),INDEX(matriz_valor!$B$2:$J$26,MATCH($A15,matriz_valor!$A$2:$A$26,0),MATCH(L$1,matriz_valor!$B$1:$J$1,0))*$G15&lt;=$E15),"cumple","no cumple"))))</f>
        <v/>
      </c>
      <c r="M15">
        <f>IF(ISNA(MATCH($A15,matriz_valor!$A$2:$A$26,0)),"no analizado",IF(INDEX(matriz_valor!$B$2:$J$26,MATCH($A15,matriz_valor!$A$2:$A$26,0),MATCH(M$1,matriz_valor!$B$1:$J$1,0))="","no analizado",IF(INDEX(matriz_signo!$B$2:$J$26,MATCH($A15,matriz_valor!$A$2:$A$26,0),MATCH(M$1,matriz_valor!$B$1:$J$1,0))="&lt;",IF($D15&lt;&gt;"","no concluyente",IF(INDEX(matriz_valor!$B$2:$J$26,MATCH($A15,matriz_valor!$A$2:$A$26,0),MATCH(M$1,matriz_valor!$B$1:$J$1,0))*$G15&lt;=$E15,"cumple","no concluyente")),IF(AND(OR($D15="",INDEX(matriz_valor!$B$2:$J$26,MATCH($A15,matriz_valor!$A$2:$A$26,0),MATCH(M$1,matriz_valor!$B$1:$J$1,0))*$G15&gt;=$D15),INDEX(matriz_valor!$B$2:$J$26,MATCH($A15,matriz_valor!$A$2:$A$26,0),MATCH(M$1,matriz_valor!$B$1:$J$1,0))*$G15&lt;=$E15),"cumple","no cumple"))))</f>
        <v/>
      </c>
      <c r="N15">
        <f>IF(ISNA(MATCH($A15,matriz_valor!$A$2:$A$26,0)),"no analizado",IF(INDEX(matriz_valor!$B$2:$J$26,MATCH($A15,matriz_valor!$A$2:$A$26,0),MATCH(N$1,matriz_valor!$B$1:$J$1,0))="","no analizado",IF(INDEX(matriz_signo!$B$2:$J$26,MATCH($A15,matriz_valor!$A$2:$A$26,0),MATCH(N$1,matriz_valor!$B$1:$J$1,0))="&lt;",IF($D15&lt;&gt;"","no concluyente",IF(INDEX(matriz_valor!$B$2:$J$26,MATCH($A15,matriz_valor!$A$2:$A$26,0),MATCH(N$1,matriz_valor!$B$1:$J$1,0))*$G15&lt;=$E15,"cumple","no concluyente")),IF(AND(OR($D15="",INDEX(matriz_valor!$B$2:$J$26,MATCH($A15,matriz_valor!$A$2:$A$26,0),MATCH(N$1,matriz_valor!$B$1:$J$1,0))*$G15&gt;=$D15),INDEX(matriz_valor!$B$2:$J$26,MATCH($A15,matriz_valor!$A$2:$A$26,0),MATCH(N$1,matriz_valor!$B$1:$J$1,0))*$G15&lt;=$E15),"cumple","no cumple"))))</f>
        <v/>
      </c>
      <c r="O15">
        <f>IF(ISNA(MATCH($A15,matriz_valor!$A$2:$A$26,0)),"no analizado",IF(INDEX(matriz_valor!$B$2:$J$26,MATCH($A15,matriz_valor!$A$2:$A$26,0),MATCH(O$1,matriz_valor!$B$1:$J$1,0))="","no analizado",IF(INDEX(matriz_signo!$B$2:$J$26,MATCH($A15,matriz_valor!$A$2:$A$26,0),MATCH(O$1,matriz_valor!$B$1:$J$1,0))="&lt;",IF($D15&lt;&gt;"","no concluyente",IF(INDEX(matriz_valor!$B$2:$J$26,MATCH($A15,matriz_valor!$A$2:$A$26,0),MATCH(O$1,matriz_valor!$B$1:$J$1,0))*$G15&lt;=$E15,"cumple","no concluyente")),IF(AND(OR($D15="",INDEX(matriz_valor!$B$2:$J$26,MATCH($A15,matriz_valor!$A$2:$A$26,0),MATCH(O$1,matriz_valor!$B$1:$J$1,0))*$G15&gt;=$D15),INDEX(matriz_valor!$B$2:$J$26,MATCH($A15,matriz_valor!$A$2:$A$26,0),MATCH(O$1,matriz_valor!$B$1:$J$1,0))*$G15&lt;=$E15),"cumple","no cumple"))))</f>
        <v/>
      </c>
      <c r="P15">
        <f>IF(ISNA(MATCH($A15,matriz_valor!$A$2:$A$26,0)),"no analizado",IF(INDEX(matriz_valor!$B$2:$J$26,MATCH($A15,matriz_valor!$A$2:$A$26,0),MATCH(P$1,matriz_valor!$B$1:$J$1,0))="","no analizado",IF(INDEX(matriz_signo!$B$2:$J$26,MATCH($A15,matriz_valor!$A$2:$A$26,0),MATCH(P$1,matriz_valor!$B$1:$J$1,0))="&lt;",IF($D15&lt;&gt;"","no concluyente",IF(INDEX(matriz_valor!$B$2:$J$26,MATCH($A15,matriz_valor!$A$2:$A$26,0),MATCH(P$1,matriz_valor!$B$1:$J$1,0))*$G15&lt;=$E15,"cumple","no concluyente")),IF(AND(OR($D15="",INDEX(matriz_valor!$B$2:$J$26,MATCH($A15,matriz_valor!$A$2:$A$26,0),MATCH(P$1,matriz_valor!$B$1:$J$1,0))*$G15&gt;=$D15),INDEX(matriz_valor!$B$2:$J$26,MATCH($A15,matriz_valor!$A$2:$A$26,0),MATCH(P$1,matriz_valor!$B$1:$J$1,0))*$G15&lt;=$E15),"cumple","no cumple"))))</f>
        <v/>
      </c>
    </row>
    <row r="16">
      <c r="A16" t="inlineStr">
        <is>
          <t>cloruros</t>
        </is>
      </c>
      <c r="B16" t="inlineStr">
        <is>
          <t>Cloruros</t>
        </is>
      </c>
      <c r="C16" t="n">
        <v>1</v>
      </c>
      <c r="E16" t="n">
        <v>250</v>
      </c>
      <c r="F16" t="inlineStr">
        <is>
          <t>mg/L Cl</t>
        </is>
      </c>
      <c r="G16" t="n">
        <v>1</v>
      </c>
      <c r="H16">
        <f>IF(ISNA(MATCH($A16,matriz_valor!$A$2:$A$26,0)),"no analizado",IF(INDEX(matriz_valor!$B$2:$J$26,MATCH($A16,matriz_valor!$A$2:$A$26,0),MATCH(H$1,matriz_valor!$B$1:$J$1,0))="","no analizado",IF(INDEX(matriz_signo!$B$2:$J$26,MATCH($A16,matriz_valor!$A$2:$A$26,0),MATCH(H$1,matriz_valor!$B$1:$J$1,0))="&lt;",IF($D16&lt;&gt;"","no concluyente",IF(INDEX(matriz_valor!$B$2:$J$26,MATCH($A16,matriz_valor!$A$2:$A$26,0),MATCH(H$1,matriz_valor!$B$1:$J$1,0))*$G16&lt;=$E16,"cumple","no concluyente")),IF(AND(OR($D16="",INDEX(matriz_valor!$B$2:$J$26,MATCH($A16,matriz_valor!$A$2:$A$26,0),MATCH(H$1,matriz_valor!$B$1:$J$1,0))*$G16&gt;=$D16),INDEX(matriz_valor!$B$2:$J$26,MATCH($A16,matriz_valor!$A$2:$A$26,0),MATCH(H$1,matriz_valor!$B$1:$J$1,0))*$G16&lt;=$E16),"cumple","no cumple"))))</f>
        <v/>
      </c>
      <c r="I16">
        <f>IF(ISNA(MATCH($A16,matriz_valor!$A$2:$A$26,0)),"no analizado",IF(INDEX(matriz_valor!$B$2:$J$26,MATCH($A16,matriz_valor!$A$2:$A$26,0),MATCH(I$1,matriz_valor!$B$1:$J$1,0))="","no analizado",IF(INDEX(matriz_signo!$B$2:$J$26,MATCH($A16,matriz_valor!$A$2:$A$26,0),MATCH(I$1,matriz_valor!$B$1:$J$1,0))="&lt;",IF($D16&lt;&gt;"","no concluyente",IF(INDEX(matriz_valor!$B$2:$J$26,MATCH($A16,matriz_valor!$A$2:$A$26,0),MATCH(I$1,matriz_valor!$B$1:$J$1,0))*$G16&lt;=$E16,"cumple","no concluyente")),IF(AND(OR($D16="",INDEX(matriz_valor!$B$2:$J$26,MATCH($A16,matriz_valor!$A$2:$A$26,0),MATCH(I$1,matriz_valor!$B$1:$J$1,0))*$G16&gt;=$D16),INDEX(matriz_valor!$B$2:$J$26,MATCH($A16,matriz_valor!$A$2:$A$26,0),MATCH(I$1,matriz_valor!$B$1:$J$1,0))*$G16&lt;=$E16),"cumple","no cumple"))))</f>
        <v/>
      </c>
      <c r="J16">
        <f>IF(ISNA(MATCH($A16,matriz_valor!$A$2:$A$26,0)),"no analizado",IF(INDEX(matriz_valor!$B$2:$J$26,MATCH($A16,matriz_valor!$A$2:$A$26,0),MATCH(J$1,matriz_valor!$B$1:$J$1,0))="","no analizado",IF(INDEX(matriz_signo!$B$2:$J$26,MATCH($A16,matriz_valor!$A$2:$A$26,0),MATCH(J$1,matriz_valor!$B$1:$J$1,0))="&lt;",IF($D16&lt;&gt;"","no concluyente",IF(INDEX(matriz_valor!$B$2:$J$26,MATCH($A16,matriz_valor!$A$2:$A$26,0),MATCH(J$1,matriz_valor!$B$1:$J$1,0))*$G16&lt;=$E16,"cumple","no concluyente")),IF(AND(OR($D16="",INDEX(matriz_valor!$B$2:$J$26,MATCH($A16,matriz_valor!$A$2:$A$26,0),MATCH(J$1,matriz_valor!$B$1:$J$1,0))*$G16&gt;=$D16),INDEX(matriz_valor!$B$2:$J$26,MATCH($A16,matriz_valor!$A$2:$A$26,0),MATCH(J$1,matriz_valor!$B$1:$J$1,0))*$G16&lt;=$E16),"cumple","no cumple"))))</f>
        <v/>
      </c>
      <c r="K16">
        <f>IF(ISNA(MATCH($A16,matriz_valor!$A$2:$A$26,0)),"no analizado",IF(INDEX(matriz_valor!$B$2:$J$26,MATCH($A16,matriz_valor!$A$2:$A$26,0),MATCH(K$1,matriz_valor!$B$1:$J$1,0))="","no analizado",IF(INDEX(matriz_signo!$B$2:$J$26,MATCH($A16,matriz_valor!$A$2:$A$26,0),MATCH(K$1,matriz_valor!$B$1:$J$1,0))="&lt;",IF($D16&lt;&gt;"","no concluyente",IF(INDEX(matriz_valor!$B$2:$J$26,MATCH($A16,matriz_valor!$A$2:$A$26,0),MATCH(K$1,matriz_valor!$B$1:$J$1,0))*$G16&lt;=$E16,"cumple","no concluyente")),IF(AND(OR($D16="",INDEX(matriz_valor!$B$2:$J$26,MATCH($A16,matriz_valor!$A$2:$A$26,0),MATCH(K$1,matriz_valor!$B$1:$J$1,0))*$G16&gt;=$D16),INDEX(matriz_valor!$B$2:$J$26,MATCH($A16,matriz_valor!$A$2:$A$26,0),MATCH(K$1,matriz_valor!$B$1:$J$1,0))*$G16&lt;=$E16),"cumple","no cumple"))))</f>
        <v/>
      </c>
      <c r="L16">
        <f>IF(ISNA(MATCH($A16,matriz_valor!$A$2:$A$26,0)),"no analizado",IF(INDEX(matriz_valor!$B$2:$J$26,MATCH($A16,matriz_valor!$A$2:$A$26,0),MATCH(L$1,matriz_valor!$B$1:$J$1,0))="","no analizado",IF(INDEX(matriz_signo!$B$2:$J$26,MATCH($A16,matriz_valor!$A$2:$A$26,0),MATCH(L$1,matriz_valor!$B$1:$J$1,0))="&lt;",IF($D16&lt;&gt;"","no concluyente",IF(INDEX(matriz_valor!$B$2:$J$26,MATCH($A16,matriz_valor!$A$2:$A$26,0),MATCH(L$1,matriz_valor!$B$1:$J$1,0))*$G16&lt;=$E16,"cumple","no concluyente")),IF(AND(OR($D16="",INDEX(matriz_valor!$B$2:$J$26,MATCH($A16,matriz_valor!$A$2:$A$26,0),MATCH(L$1,matriz_valor!$B$1:$J$1,0))*$G16&gt;=$D16),INDEX(matriz_valor!$B$2:$J$26,MATCH($A16,matriz_valor!$A$2:$A$26,0),MATCH(L$1,matriz_valor!$B$1:$J$1,0))*$G16&lt;=$E16),"cumple","no cumple"))))</f>
        <v/>
      </c>
      <c r="M16">
        <f>IF(ISNA(MATCH($A16,matriz_valor!$A$2:$A$26,0)),"no analizado",IF(INDEX(matriz_valor!$B$2:$J$26,MATCH($A16,matriz_valor!$A$2:$A$26,0),MATCH(M$1,matriz_valor!$B$1:$J$1,0))="","no analizado",IF(INDEX(matriz_signo!$B$2:$J$26,MATCH($A16,matriz_valor!$A$2:$A$26,0),MATCH(M$1,matriz_valor!$B$1:$J$1,0))="&lt;",IF($D16&lt;&gt;"","no concluyente",IF(INDEX(matriz_valor!$B$2:$J$26,MATCH($A16,matriz_valor!$A$2:$A$26,0),MATCH(M$1,matriz_valor!$B$1:$J$1,0))*$G16&lt;=$E16,"cumple","no concluyente")),IF(AND(OR($D16="",INDEX(matriz_valor!$B$2:$J$26,MATCH($A16,matriz_valor!$A$2:$A$26,0),MATCH(M$1,matriz_valor!$B$1:$J$1,0))*$G16&gt;=$D16),INDEX(matriz_valor!$B$2:$J$26,MATCH($A16,matriz_valor!$A$2:$A$26,0),MATCH(M$1,matriz_valor!$B$1:$J$1,0))*$G16&lt;=$E16),"cumple","no cumple"))))</f>
        <v/>
      </c>
      <c r="N16">
        <f>IF(ISNA(MATCH($A16,matriz_valor!$A$2:$A$26,0)),"no analizado",IF(INDEX(matriz_valor!$B$2:$J$26,MATCH($A16,matriz_valor!$A$2:$A$26,0),MATCH(N$1,matriz_valor!$B$1:$J$1,0))="","no analizado",IF(INDEX(matriz_signo!$B$2:$J$26,MATCH($A16,matriz_valor!$A$2:$A$26,0),MATCH(N$1,matriz_valor!$B$1:$J$1,0))="&lt;",IF($D16&lt;&gt;"","no concluyente",IF(INDEX(matriz_valor!$B$2:$J$26,MATCH($A16,matriz_valor!$A$2:$A$26,0),MATCH(N$1,matriz_valor!$B$1:$J$1,0))*$G16&lt;=$E16,"cumple","no concluyente")),IF(AND(OR($D16="",INDEX(matriz_valor!$B$2:$J$26,MATCH($A16,matriz_valor!$A$2:$A$26,0),MATCH(N$1,matriz_valor!$B$1:$J$1,0))*$G16&gt;=$D16),INDEX(matriz_valor!$B$2:$J$26,MATCH($A16,matriz_valor!$A$2:$A$26,0),MATCH(N$1,matriz_valor!$B$1:$J$1,0))*$G16&lt;=$E16),"cumple","no cumple"))))</f>
        <v/>
      </c>
      <c r="O16">
        <f>IF(ISNA(MATCH($A16,matriz_valor!$A$2:$A$26,0)),"no analizado",IF(INDEX(matriz_valor!$B$2:$J$26,MATCH($A16,matriz_valor!$A$2:$A$26,0),MATCH(O$1,matriz_valor!$B$1:$J$1,0))="","no analizado",IF(INDEX(matriz_signo!$B$2:$J$26,MATCH($A16,matriz_valor!$A$2:$A$26,0),MATCH(O$1,matriz_valor!$B$1:$J$1,0))="&lt;",IF($D16&lt;&gt;"","no concluyente",IF(INDEX(matriz_valor!$B$2:$J$26,MATCH($A16,matriz_valor!$A$2:$A$26,0),MATCH(O$1,matriz_valor!$B$1:$J$1,0))*$G16&lt;=$E16,"cumple","no concluyente")),IF(AND(OR($D16="",INDEX(matriz_valor!$B$2:$J$26,MATCH($A16,matriz_valor!$A$2:$A$26,0),MATCH(O$1,matriz_valor!$B$1:$J$1,0))*$G16&gt;=$D16),INDEX(matriz_valor!$B$2:$J$26,MATCH($A16,matriz_valor!$A$2:$A$26,0),MATCH(O$1,matriz_valor!$B$1:$J$1,0))*$G16&lt;=$E16),"cumple","no cumple"))))</f>
        <v/>
      </c>
      <c r="P16">
        <f>IF(ISNA(MATCH($A16,matriz_valor!$A$2:$A$26,0)),"no analizado",IF(INDEX(matriz_valor!$B$2:$J$26,MATCH($A16,matriz_valor!$A$2:$A$26,0),MATCH(P$1,matriz_valor!$B$1:$J$1,0))="","no analizado",IF(INDEX(matriz_signo!$B$2:$J$26,MATCH($A16,matriz_valor!$A$2:$A$26,0),MATCH(P$1,matriz_valor!$B$1:$J$1,0))="&lt;",IF($D16&lt;&gt;"","no concluyente",IF(INDEX(matriz_valor!$B$2:$J$26,MATCH($A16,matriz_valor!$A$2:$A$26,0),MATCH(P$1,matriz_valor!$B$1:$J$1,0))*$G16&lt;=$E16,"cumple","no concluyente")),IF(AND(OR($D16="",INDEX(matriz_valor!$B$2:$J$26,MATCH($A16,matriz_valor!$A$2:$A$26,0),MATCH(P$1,matriz_valor!$B$1:$J$1,0))*$G16&gt;=$D16),INDEX(matriz_valor!$B$2:$J$26,MATCH($A16,matriz_valor!$A$2:$A$26,0),MATCH(P$1,matriz_valor!$B$1:$J$1,0))*$G16&lt;=$E16),"cumple","no cumple"))))</f>
        <v/>
      </c>
    </row>
    <row r="17">
      <c r="A17" t="inlineStr">
        <is>
          <t>nitratos_n</t>
        </is>
      </c>
      <c r="B17" t="inlineStr">
        <is>
          <t>Nitratos</t>
        </is>
      </c>
      <c r="C17" t="n">
        <v>1</v>
      </c>
      <c r="E17" t="n">
        <v>10</v>
      </c>
      <c r="F17" t="inlineStr">
        <is>
          <t>mg/L NO3</t>
        </is>
      </c>
      <c r="G17" t="n">
        <v>4.4266</v>
      </c>
      <c r="H17">
        <f>IF(ISNA(MATCH($A17,matriz_valor!$A$2:$A$26,0)),"no analizado",IF(INDEX(matriz_valor!$B$2:$J$26,MATCH($A17,matriz_valor!$A$2:$A$26,0),MATCH(H$1,matriz_valor!$B$1:$J$1,0))="","no analizado",IF(INDEX(matriz_signo!$B$2:$J$26,MATCH($A17,matriz_valor!$A$2:$A$26,0),MATCH(H$1,matriz_valor!$B$1:$J$1,0))="&lt;",IF($D17&lt;&gt;"","no concluyente",IF(INDEX(matriz_valor!$B$2:$J$26,MATCH($A17,matriz_valor!$A$2:$A$26,0),MATCH(H$1,matriz_valor!$B$1:$J$1,0))*$G17&lt;=$E17,"cumple","no concluyente")),IF(AND(OR($D17="",INDEX(matriz_valor!$B$2:$J$26,MATCH($A17,matriz_valor!$A$2:$A$26,0),MATCH(H$1,matriz_valor!$B$1:$J$1,0))*$G17&gt;=$D17),INDEX(matriz_valor!$B$2:$J$26,MATCH($A17,matriz_valor!$A$2:$A$26,0),MATCH(H$1,matriz_valor!$B$1:$J$1,0))*$G17&lt;=$E17),"cumple","no cumple"))))</f>
        <v/>
      </c>
      <c r="I17">
        <f>IF(ISNA(MATCH($A17,matriz_valor!$A$2:$A$26,0)),"no analizado",IF(INDEX(matriz_valor!$B$2:$J$26,MATCH($A17,matriz_valor!$A$2:$A$26,0),MATCH(I$1,matriz_valor!$B$1:$J$1,0))="","no analizado",IF(INDEX(matriz_signo!$B$2:$J$26,MATCH($A17,matriz_valor!$A$2:$A$26,0),MATCH(I$1,matriz_valor!$B$1:$J$1,0))="&lt;",IF($D17&lt;&gt;"","no concluyente",IF(INDEX(matriz_valor!$B$2:$J$26,MATCH($A17,matriz_valor!$A$2:$A$26,0),MATCH(I$1,matriz_valor!$B$1:$J$1,0))*$G17&lt;=$E17,"cumple","no concluyente")),IF(AND(OR($D17="",INDEX(matriz_valor!$B$2:$J$26,MATCH($A17,matriz_valor!$A$2:$A$26,0),MATCH(I$1,matriz_valor!$B$1:$J$1,0))*$G17&gt;=$D17),INDEX(matriz_valor!$B$2:$J$26,MATCH($A17,matriz_valor!$A$2:$A$26,0),MATCH(I$1,matriz_valor!$B$1:$J$1,0))*$G17&lt;=$E17),"cumple","no cumple"))))</f>
        <v/>
      </c>
      <c r="J17">
        <f>IF(ISNA(MATCH($A17,matriz_valor!$A$2:$A$26,0)),"no analizado",IF(INDEX(matriz_valor!$B$2:$J$26,MATCH($A17,matriz_valor!$A$2:$A$26,0),MATCH(J$1,matriz_valor!$B$1:$J$1,0))="","no analizado",IF(INDEX(matriz_signo!$B$2:$J$26,MATCH($A17,matriz_valor!$A$2:$A$26,0),MATCH(J$1,matriz_valor!$B$1:$J$1,0))="&lt;",IF($D17&lt;&gt;"","no concluyente",IF(INDEX(matriz_valor!$B$2:$J$26,MATCH($A17,matriz_valor!$A$2:$A$26,0),MATCH(J$1,matriz_valor!$B$1:$J$1,0))*$G17&lt;=$E17,"cumple","no concluyente")),IF(AND(OR($D17="",INDEX(matriz_valor!$B$2:$J$26,MATCH($A17,matriz_valor!$A$2:$A$26,0),MATCH(J$1,matriz_valor!$B$1:$J$1,0))*$G17&gt;=$D17),INDEX(matriz_valor!$B$2:$J$26,MATCH($A17,matriz_valor!$A$2:$A$26,0),MATCH(J$1,matriz_valor!$B$1:$J$1,0))*$G17&lt;=$E17),"cumple","no cumple"))))</f>
        <v/>
      </c>
      <c r="K17">
        <f>IF(ISNA(MATCH($A17,matriz_valor!$A$2:$A$26,0)),"no analizado",IF(INDEX(matriz_valor!$B$2:$J$26,MATCH($A17,matriz_valor!$A$2:$A$26,0),MATCH(K$1,matriz_valor!$B$1:$J$1,0))="","no analizado",IF(INDEX(matriz_signo!$B$2:$J$26,MATCH($A17,matriz_valor!$A$2:$A$26,0),MATCH(K$1,matriz_valor!$B$1:$J$1,0))="&lt;",IF($D17&lt;&gt;"","no concluyente",IF(INDEX(matriz_valor!$B$2:$J$26,MATCH($A17,matriz_valor!$A$2:$A$26,0),MATCH(K$1,matriz_valor!$B$1:$J$1,0))*$G17&lt;=$E17,"cumple","no concluyente")),IF(AND(OR($D17="",INDEX(matriz_valor!$B$2:$J$26,MATCH($A17,matriz_valor!$A$2:$A$26,0),MATCH(K$1,matriz_valor!$B$1:$J$1,0))*$G17&gt;=$D17),INDEX(matriz_valor!$B$2:$J$26,MATCH($A17,matriz_valor!$A$2:$A$26,0),MATCH(K$1,matriz_valor!$B$1:$J$1,0))*$G17&lt;=$E17),"cumple","no cumple"))))</f>
        <v/>
      </c>
      <c r="L17">
        <f>IF(ISNA(MATCH($A17,matriz_valor!$A$2:$A$26,0)),"no analizado",IF(INDEX(matriz_valor!$B$2:$J$26,MATCH($A17,matriz_valor!$A$2:$A$26,0),MATCH(L$1,matriz_valor!$B$1:$J$1,0))="","no analizado",IF(INDEX(matriz_signo!$B$2:$J$26,MATCH($A17,matriz_valor!$A$2:$A$26,0),MATCH(L$1,matriz_valor!$B$1:$J$1,0))="&lt;",IF($D17&lt;&gt;"","no concluyente",IF(INDEX(matriz_valor!$B$2:$J$26,MATCH($A17,matriz_valor!$A$2:$A$26,0),MATCH(L$1,matriz_valor!$B$1:$J$1,0))*$G17&lt;=$E17,"cumple","no concluyente")),IF(AND(OR($D17="",INDEX(matriz_valor!$B$2:$J$26,MATCH($A17,matriz_valor!$A$2:$A$26,0),MATCH(L$1,matriz_valor!$B$1:$J$1,0))*$G17&gt;=$D17),INDEX(matriz_valor!$B$2:$J$26,MATCH($A17,matriz_valor!$A$2:$A$26,0),MATCH(L$1,matriz_valor!$B$1:$J$1,0))*$G17&lt;=$E17),"cumple","no cumple"))))</f>
        <v/>
      </c>
      <c r="M17">
        <f>IF(ISNA(MATCH($A17,matriz_valor!$A$2:$A$26,0)),"no analizado",IF(INDEX(matriz_valor!$B$2:$J$26,MATCH($A17,matriz_valor!$A$2:$A$26,0),MATCH(M$1,matriz_valor!$B$1:$J$1,0))="","no analizado",IF(INDEX(matriz_signo!$B$2:$J$26,MATCH($A17,matriz_valor!$A$2:$A$26,0),MATCH(M$1,matriz_valor!$B$1:$J$1,0))="&lt;",IF($D17&lt;&gt;"","no concluyente",IF(INDEX(matriz_valor!$B$2:$J$26,MATCH($A17,matriz_valor!$A$2:$A$26,0),MATCH(M$1,matriz_valor!$B$1:$J$1,0))*$G17&lt;=$E17,"cumple","no concluyente")),IF(AND(OR($D17="",INDEX(matriz_valor!$B$2:$J$26,MATCH($A17,matriz_valor!$A$2:$A$26,0),MATCH(M$1,matriz_valor!$B$1:$J$1,0))*$G17&gt;=$D17),INDEX(matriz_valor!$B$2:$J$26,MATCH($A17,matriz_valor!$A$2:$A$26,0),MATCH(M$1,matriz_valor!$B$1:$J$1,0))*$G17&lt;=$E17),"cumple","no cumple"))))</f>
        <v/>
      </c>
      <c r="N17">
        <f>IF(ISNA(MATCH($A17,matriz_valor!$A$2:$A$26,0)),"no analizado",IF(INDEX(matriz_valor!$B$2:$J$26,MATCH($A17,matriz_valor!$A$2:$A$26,0),MATCH(N$1,matriz_valor!$B$1:$J$1,0))="","no analizado",IF(INDEX(matriz_signo!$B$2:$J$26,MATCH($A17,matriz_valor!$A$2:$A$26,0),MATCH(N$1,matriz_valor!$B$1:$J$1,0))="&lt;",IF($D17&lt;&gt;"","no concluyente",IF(INDEX(matriz_valor!$B$2:$J$26,MATCH($A17,matriz_valor!$A$2:$A$26,0),MATCH(N$1,matriz_valor!$B$1:$J$1,0))*$G17&lt;=$E17,"cumple","no concluyente")),IF(AND(OR($D17="",INDEX(matriz_valor!$B$2:$J$26,MATCH($A17,matriz_valor!$A$2:$A$26,0),MATCH(N$1,matriz_valor!$B$1:$J$1,0))*$G17&gt;=$D17),INDEX(matriz_valor!$B$2:$J$26,MATCH($A17,matriz_valor!$A$2:$A$26,0),MATCH(N$1,matriz_valor!$B$1:$J$1,0))*$G17&lt;=$E17),"cumple","no cumple"))))</f>
        <v/>
      </c>
      <c r="O17">
        <f>IF(ISNA(MATCH($A17,matriz_valor!$A$2:$A$26,0)),"no analizado",IF(INDEX(matriz_valor!$B$2:$J$26,MATCH($A17,matriz_valor!$A$2:$A$26,0),MATCH(O$1,matriz_valor!$B$1:$J$1,0))="","no analizado",IF(INDEX(matriz_signo!$B$2:$J$26,MATCH($A17,matriz_valor!$A$2:$A$26,0),MATCH(O$1,matriz_valor!$B$1:$J$1,0))="&lt;",IF($D17&lt;&gt;"","no concluyente",IF(INDEX(matriz_valor!$B$2:$J$26,MATCH($A17,matriz_valor!$A$2:$A$26,0),MATCH(O$1,matriz_valor!$B$1:$J$1,0))*$G17&lt;=$E17,"cumple","no concluyente")),IF(AND(OR($D17="",INDEX(matriz_valor!$B$2:$J$26,MATCH($A17,matriz_valor!$A$2:$A$26,0),MATCH(O$1,matriz_valor!$B$1:$J$1,0))*$G17&gt;=$D17),INDEX(matriz_valor!$B$2:$J$26,MATCH($A17,matriz_valor!$A$2:$A$26,0),MATCH(O$1,matriz_valor!$B$1:$J$1,0))*$G17&lt;=$E17),"cumple","no cumple"))))</f>
        <v/>
      </c>
      <c r="P17">
        <f>IF(ISNA(MATCH($A17,matriz_valor!$A$2:$A$26,0)),"no analizado",IF(INDEX(matriz_valor!$B$2:$J$26,MATCH($A17,matriz_valor!$A$2:$A$26,0),MATCH(P$1,matriz_valor!$B$1:$J$1,0))="","no analizado",IF(INDEX(matriz_signo!$B$2:$J$26,MATCH($A17,matriz_valor!$A$2:$A$26,0),MATCH(P$1,matriz_valor!$B$1:$J$1,0))="&lt;",IF($D17&lt;&gt;"","no concluyente",IF(INDEX(matriz_valor!$B$2:$J$26,MATCH($A17,matriz_valor!$A$2:$A$26,0),MATCH(P$1,matriz_valor!$B$1:$J$1,0))*$G17&lt;=$E17,"cumple","no concluyente")),IF(AND(OR($D17="",INDEX(matriz_valor!$B$2:$J$26,MATCH($A17,matriz_valor!$A$2:$A$26,0),MATCH(P$1,matriz_valor!$B$1:$J$1,0))*$G17&gt;=$D17),INDEX(matriz_valor!$B$2:$J$26,MATCH($A17,matriz_valor!$A$2:$A$26,0),MATCH(P$1,matriz_valor!$B$1:$J$1,0))*$G17&lt;=$E17),"cumple","no cumple"))))</f>
        <v/>
      </c>
    </row>
    <row r="18">
      <c r="A18" t="inlineStr">
        <is>
          <t>nitritos_n</t>
        </is>
      </c>
      <c r="B18" t="inlineStr">
        <is>
          <t>Nitritos</t>
        </is>
      </c>
      <c r="C18" t="n">
        <v>3</v>
      </c>
      <c r="E18" t="n">
        <v>0.1</v>
      </c>
      <c r="F18" t="inlineStr">
        <is>
          <t>mg/L NO2</t>
        </is>
      </c>
      <c r="G18" t="n">
        <v>3.2844</v>
      </c>
      <c r="H18">
        <f>IF(ISNA(MATCH($A18,matriz_valor!$A$2:$A$26,0)),"no analizado",IF(INDEX(matriz_valor!$B$2:$J$26,MATCH($A18,matriz_valor!$A$2:$A$26,0),MATCH(H$1,matriz_valor!$B$1:$J$1,0))="","no analizado",IF(INDEX(matriz_signo!$B$2:$J$26,MATCH($A18,matriz_valor!$A$2:$A$26,0),MATCH(H$1,matriz_valor!$B$1:$J$1,0))="&lt;",IF($D18&lt;&gt;"","no concluyente",IF(INDEX(matriz_valor!$B$2:$J$26,MATCH($A18,matriz_valor!$A$2:$A$26,0),MATCH(H$1,matriz_valor!$B$1:$J$1,0))*$G18&lt;=$E18,"cumple","no concluyente")),IF(AND(OR($D18="",INDEX(matriz_valor!$B$2:$J$26,MATCH($A18,matriz_valor!$A$2:$A$26,0),MATCH(H$1,matriz_valor!$B$1:$J$1,0))*$G18&gt;=$D18),INDEX(matriz_valor!$B$2:$J$26,MATCH($A18,matriz_valor!$A$2:$A$26,0),MATCH(H$1,matriz_valor!$B$1:$J$1,0))*$G18&lt;=$E18),"cumple","no cumple"))))</f>
        <v/>
      </c>
      <c r="I18">
        <f>IF(ISNA(MATCH($A18,matriz_valor!$A$2:$A$26,0)),"no analizado",IF(INDEX(matriz_valor!$B$2:$J$26,MATCH($A18,matriz_valor!$A$2:$A$26,0),MATCH(I$1,matriz_valor!$B$1:$J$1,0))="","no analizado",IF(INDEX(matriz_signo!$B$2:$J$26,MATCH($A18,matriz_valor!$A$2:$A$26,0),MATCH(I$1,matriz_valor!$B$1:$J$1,0))="&lt;",IF($D18&lt;&gt;"","no concluyente",IF(INDEX(matriz_valor!$B$2:$J$26,MATCH($A18,matriz_valor!$A$2:$A$26,0),MATCH(I$1,matriz_valor!$B$1:$J$1,0))*$G18&lt;=$E18,"cumple","no concluyente")),IF(AND(OR($D18="",INDEX(matriz_valor!$B$2:$J$26,MATCH($A18,matriz_valor!$A$2:$A$26,0),MATCH(I$1,matriz_valor!$B$1:$J$1,0))*$G18&gt;=$D18),INDEX(matriz_valor!$B$2:$J$26,MATCH($A18,matriz_valor!$A$2:$A$26,0),MATCH(I$1,matriz_valor!$B$1:$J$1,0))*$G18&lt;=$E18),"cumple","no cumple"))))</f>
        <v/>
      </c>
      <c r="J18">
        <f>IF(ISNA(MATCH($A18,matriz_valor!$A$2:$A$26,0)),"no analizado",IF(INDEX(matriz_valor!$B$2:$J$26,MATCH($A18,matriz_valor!$A$2:$A$26,0),MATCH(J$1,matriz_valor!$B$1:$J$1,0))="","no analizado",IF(INDEX(matriz_signo!$B$2:$J$26,MATCH($A18,matriz_valor!$A$2:$A$26,0),MATCH(J$1,matriz_valor!$B$1:$J$1,0))="&lt;",IF($D18&lt;&gt;"","no concluyente",IF(INDEX(matriz_valor!$B$2:$J$26,MATCH($A18,matriz_valor!$A$2:$A$26,0),MATCH(J$1,matriz_valor!$B$1:$J$1,0))*$G18&lt;=$E18,"cumple","no concluyente")),IF(AND(OR($D18="",INDEX(matriz_valor!$B$2:$J$26,MATCH($A18,matriz_valor!$A$2:$A$26,0),MATCH(J$1,matriz_valor!$B$1:$J$1,0))*$G18&gt;=$D18),INDEX(matriz_valor!$B$2:$J$26,MATCH($A18,matriz_valor!$A$2:$A$26,0),MATCH(J$1,matriz_valor!$B$1:$J$1,0))*$G18&lt;=$E18),"cumple","no cumple"))))</f>
        <v/>
      </c>
      <c r="K18">
        <f>IF(ISNA(MATCH($A18,matriz_valor!$A$2:$A$26,0)),"no analizado",IF(INDEX(matriz_valor!$B$2:$J$26,MATCH($A18,matriz_valor!$A$2:$A$26,0),MATCH(K$1,matriz_valor!$B$1:$J$1,0))="","no analizado",IF(INDEX(matriz_signo!$B$2:$J$26,MATCH($A18,matriz_valor!$A$2:$A$26,0),MATCH(K$1,matriz_valor!$B$1:$J$1,0))="&lt;",IF($D18&lt;&gt;"","no concluyente",IF(INDEX(matriz_valor!$B$2:$J$26,MATCH($A18,matriz_valor!$A$2:$A$26,0),MATCH(K$1,matriz_valor!$B$1:$J$1,0))*$G18&lt;=$E18,"cumple","no concluyente")),IF(AND(OR($D18="",INDEX(matriz_valor!$B$2:$J$26,MATCH($A18,matriz_valor!$A$2:$A$26,0),MATCH(K$1,matriz_valor!$B$1:$J$1,0))*$G18&gt;=$D18),INDEX(matriz_valor!$B$2:$J$26,MATCH($A18,matriz_valor!$A$2:$A$26,0),MATCH(K$1,matriz_valor!$B$1:$J$1,0))*$G18&lt;=$E18),"cumple","no cumple"))))</f>
        <v/>
      </c>
      <c r="L18">
        <f>IF(ISNA(MATCH($A18,matriz_valor!$A$2:$A$26,0)),"no analizado",IF(INDEX(matriz_valor!$B$2:$J$26,MATCH($A18,matriz_valor!$A$2:$A$26,0),MATCH(L$1,matriz_valor!$B$1:$J$1,0))="","no analizado",IF(INDEX(matriz_signo!$B$2:$J$26,MATCH($A18,matriz_valor!$A$2:$A$26,0),MATCH(L$1,matriz_valor!$B$1:$J$1,0))="&lt;",IF($D18&lt;&gt;"","no concluyente",IF(INDEX(matriz_valor!$B$2:$J$26,MATCH($A18,matriz_valor!$A$2:$A$26,0),MATCH(L$1,matriz_valor!$B$1:$J$1,0))*$G18&lt;=$E18,"cumple","no concluyente")),IF(AND(OR($D18="",INDEX(matriz_valor!$B$2:$J$26,MATCH($A18,matriz_valor!$A$2:$A$26,0),MATCH(L$1,matriz_valor!$B$1:$J$1,0))*$G18&gt;=$D18),INDEX(matriz_valor!$B$2:$J$26,MATCH($A18,matriz_valor!$A$2:$A$26,0),MATCH(L$1,matriz_valor!$B$1:$J$1,0))*$G18&lt;=$E18),"cumple","no cumple"))))</f>
        <v/>
      </c>
      <c r="M18">
        <f>IF(ISNA(MATCH($A18,matriz_valor!$A$2:$A$26,0)),"no analizado",IF(INDEX(matriz_valor!$B$2:$J$26,MATCH($A18,matriz_valor!$A$2:$A$26,0),MATCH(M$1,matriz_valor!$B$1:$J$1,0))="","no analizado",IF(INDEX(matriz_signo!$B$2:$J$26,MATCH($A18,matriz_valor!$A$2:$A$26,0),MATCH(M$1,matriz_valor!$B$1:$J$1,0))="&lt;",IF($D18&lt;&gt;"","no concluyente",IF(INDEX(matriz_valor!$B$2:$J$26,MATCH($A18,matriz_valor!$A$2:$A$26,0),MATCH(M$1,matriz_valor!$B$1:$J$1,0))*$G18&lt;=$E18,"cumple","no concluyente")),IF(AND(OR($D18="",INDEX(matriz_valor!$B$2:$J$26,MATCH($A18,matriz_valor!$A$2:$A$26,0),MATCH(M$1,matriz_valor!$B$1:$J$1,0))*$G18&gt;=$D18),INDEX(matriz_valor!$B$2:$J$26,MATCH($A18,matriz_valor!$A$2:$A$26,0),MATCH(M$1,matriz_valor!$B$1:$J$1,0))*$G18&lt;=$E18),"cumple","no cumple"))))</f>
        <v/>
      </c>
      <c r="N18">
        <f>IF(ISNA(MATCH($A18,matriz_valor!$A$2:$A$26,0)),"no analizado",IF(INDEX(matriz_valor!$B$2:$J$26,MATCH($A18,matriz_valor!$A$2:$A$26,0),MATCH(N$1,matriz_valor!$B$1:$J$1,0))="","no analizado",IF(INDEX(matriz_signo!$B$2:$J$26,MATCH($A18,matriz_valor!$A$2:$A$26,0),MATCH(N$1,matriz_valor!$B$1:$J$1,0))="&lt;",IF($D18&lt;&gt;"","no concluyente",IF(INDEX(matriz_valor!$B$2:$J$26,MATCH($A18,matriz_valor!$A$2:$A$26,0),MATCH(N$1,matriz_valor!$B$1:$J$1,0))*$G18&lt;=$E18,"cumple","no concluyente")),IF(AND(OR($D18="",INDEX(matriz_valor!$B$2:$J$26,MATCH($A18,matriz_valor!$A$2:$A$26,0),MATCH(N$1,matriz_valor!$B$1:$J$1,0))*$G18&gt;=$D18),INDEX(matriz_valor!$B$2:$J$26,MATCH($A18,matriz_valor!$A$2:$A$26,0),MATCH(N$1,matriz_valor!$B$1:$J$1,0))*$G18&lt;=$E18),"cumple","no cumple"))))</f>
        <v/>
      </c>
      <c r="O18">
        <f>IF(ISNA(MATCH($A18,matriz_valor!$A$2:$A$26,0)),"no analizado",IF(INDEX(matriz_valor!$B$2:$J$26,MATCH($A18,matriz_valor!$A$2:$A$26,0),MATCH(O$1,matriz_valor!$B$1:$J$1,0))="","no analizado",IF(INDEX(matriz_signo!$B$2:$J$26,MATCH($A18,matriz_valor!$A$2:$A$26,0),MATCH(O$1,matriz_valor!$B$1:$J$1,0))="&lt;",IF($D18&lt;&gt;"","no concluyente",IF(INDEX(matriz_valor!$B$2:$J$26,MATCH($A18,matriz_valor!$A$2:$A$26,0),MATCH(O$1,matriz_valor!$B$1:$J$1,0))*$G18&lt;=$E18,"cumple","no concluyente")),IF(AND(OR($D18="",INDEX(matriz_valor!$B$2:$J$26,MATCH($A18,matriz_valor!$A$2:$A$26,0),MATCH(O$1,matriz_valor!$B$1:$J$1,0))*$G18&gt;=$D18),INDEX(matriz_valor!$B$2:$J$26,MATCH($A18,matriz_valor!$A$2:$A$26,0),MATCH(O$1,matriz_valor!$B$1:$J$1,0))*$G18&lt;=$E18),"cumple","no cumple"))))</f>
        <v/>
      </c>
      <c r="P18">
        <f>IF(ISNA(MATCH($A18,matriz_valor!$A$2:$A$26,0)),"no analizado",IF(INDEX(matriz_valor!$B$2:$J$26,MATCH($A18,matriz_valor!$A$2:$A$26,0),MATCH(P$1,matriz_valor!$B$1:$J$1,0))="","no analizado",IF(INDEX(matriz_signo!$B$2:$J$26,MATCH($A18,matriz_valor!$A$2:$A$26,0),MATCH(P$1,matriz_valor!$B$1:$J$1,0))="&lt;",IF($D18&lt;&gt;"","no concluyente",IF(INDEX(matriz_valor!$B$2:$J$26,MATCH($A18,matriz_valor!$A$2:$A$26,0),MATCH(P$1,matriz_valor!$B$1:$J$1,0))*$G18&lt;=$E18,"cumple","no concluyente")),IF(AND(OR($D18="",INDEX(matriz_valor!$B$2:$J$26,MATCH($A18,matriz_valor!$A$2:$A$26,0),MATCH(P$1,matriz_valor!$B$1:$J$1,0))*$G18&gt;=$D18),INDEX(matriz_valor!$B$2:$J$26,MATCH($A18,matriz_valor!$A$2:$A$26,0),MATCH(P$1,matriz_valor!$B$1:$J$1,0))*$G18&lt;=$E18),"cumple","no cumple"))))</f>
        <v/>
      </c>
    </row>
    <row r="19">
      <c r="A19" t="inlineStr">
        <is>
          <t>aluminio</t>
        </is>
      </c>
      <c r="B19" t="inlineStr">
        <is>
          <t>Aluminio (Al3+)</t>
        </is>
      </c>
      <c r="C19" t="n">
        <v>3</v>
      </c>
      <c r="E19" t="n">
        <v>0.2</v>
      </c>
      <c r="F19" t="inlineStr">
        <is>
          <t>mg/L Al</t>
        </is>
      </c>
      <c r="G19" t="n">
        <v>1</v>
      </c>
      <c r="H19">
        <f>IF(ISNA(MATCH($A19,matriz_valor!$A$2:$A$26,0)),"no analizado",IF(INDEX(matriz_valor!$B$2:$J$26,MATCH($A19,matriz_valor!$A$2:$A$26,0),MATCH(H$1,matriz_valor!$B$1:$J$1,0))="","no analizado",IF(INDEX(matriz_signo!$B$2:$J$26,MATCH($A19,matriz_valor!$A$2:$A$26,0),MATCH(H$1,matriz_valor!$B$1:$J$1,0))="&lt;",IF($D19&lt;&gt;"","no concluyente",IF(INDEX(matriz_valor!$B$2:$J$26,MATCH($A19,matriz_valor!$A$2:$A$26,0),MATCH(H$1,matriz_valor!$B$1:$J$1,0))*$G19&lt;=$E19,"cumple","no concluyente")),IF(AND(OR($D19="",INDEX(matriz_valor!$B$2:$J$26,MATCH($A19,matriz_valor!$A$2:$A$26,0),MATCH(H$1,matriz_valor!$B$1:$J$1,0))*$G19&gt;=$D19),INDEX(matriz_valor!$B$2:$J$26,MATCH($A19,matriz_valor!$A$2:$A$26,0),MATCH(H$1,matriz_valor!$B$1:$J$1,0))*$G19&lt;=$E19),"cumple","no cumple"))))</f>
        <v/>
      </c>
      <c r="I19">
        <f>IF(ISNA(MATCH($A19,matriz_valor!$A$2:$A$26,0)),"no analizado",IF(INDEX(matriz_valor!$B$2:$J$26,MATCH($A19,matriz_valor!$A$2:$A$26,0),MATCH(I$1,matriz_valor!$B$1:$J$1,0))="","no analizado",IF(INDEX(matriz_signo!$B$2:$J$26,MATCH($A19,matriz_valor!$A$2:$A$26,0),MATCH(I$1,matriz_valor!$B$1:$J$1,0))="&lt;",IF($D19&lt;&gt;"","no concluyente",IF(INDEX(matriz_valor!$B$2:$J$26,MATCH($A19,matriz_valor!$A$2:$A$26,0),MATCH(I$1,matriz_valor!$B$1:$J$1,0))*$G19&lt;=$E19,"cumple","no concluyente")),IF(AND(OR($D19="",INDEX(matriz_valor!$B$2:$J$26,MATCH($A19,matriz_valor!$A$2:$A$26,0),MATCH(I$1,matriz_valor!$B$1:$J$1,0))*$G19&gt;=$D19),INDEX(matriz_valor!$B$2:$J$26,MATCH($A19,matriz_valor!$A$2:$A$26,0),MATCH(I$1,matriz_valor!$B$1:$J$1,0))*$G19&lt;=$E19),"cumple","no cumple"))))</f>
        <v/>
      </c>
      <c r="J19">
        <f>IF(ISNA(MATCH($A19,matriz_valor!$A$2:$A$26,0)),"no analizado",IF(INDEX(matriz_valor!$B$2:$J$26,MATCH($A19,matriz_valor!$A$2:$A$26,0),MATCH(J$1,matriz_valor!$B$1:$J$1,0))="","no analizado",IF(INDEX(matriz_signo!$B$2:$J$26,MATCH($A19,matriz_valor!$A$2:$A$26,0),MATCH(J$1,matriz_valor!$B$1:$J$1,0))="&lt;",IF($D19&lt;&gt;"","no concluyente",IF(INDEX(matriz_valor!$B$2:$J$26,MATCH($A19,matriz_valor!$A$2:$A$26,0),MATCH(J$1,matriz_valor!$B$1:$J$1,0))*$G19&lt;=$E19,"cumple","no concluyente")),IF(AND(OR($D19="",INDEX(matriz_valor!$B$2:$J$26,MATCH($A19,matriz_valor!$A$2:$A$26,0),MATCH(J$1,matriz_valor!$B$1:$J$1,0))*$G19&gt;=$D19),INDEX(matriz_valor!$B$2:$J$26,MATCH($A19,matriz_valor!$A$2:$A$26,0),MATCH(J$1,matriz_valor!$B$1:$J$1,0))*$G19&lt;=$E19),"cumple","no cumple"))))</f>
        <v/>
      </c>
      <c r="K19">
        <f>IF(ISNA(MATCH($A19,matriz_valor!$A$2:$A$26,0)),"no analizado",IF(INDEX(matriz_valor!$B$2:$J$26,MATCH($A19,matriz_valor!$A$2:$A$26,0),MATCH(K$1,matriz_valor!$B$1:$J$1,0))="","no analizado",IF(INDEX(matriz_signo!$B$2:$J$26,MATCH($A19,matriz_valor!$A$2:$A$26,0),MATCH(K$1,matriz_valor!$B$1:$J$1,0))="&lt;",IF($D19&lt;&gt;"","no concluyente",IF(INDEX(matriz_valor!$B$2:$J$26,MATCH($A19,matriz_valor!$A$2:$A$26,0),MATCH(K$1,matriz_valor!$B$1:$J$1,0))*$G19&lt;=$E19,"cumple","no concluyente")),IF(AND(OR($D19="",INDEX(matriz_valor!$B$2:$J$26,MATCH($A19,matriz_valor!$A$2:$A$26,0),MATCH(K$1,matriz_valor!$B$1:$J$1,0))*$G19&gt;=$D19),INDEX(matriz_valor!$B$2:$J$26,MATCH($A19,matriz_valor!$A$2:$A$26,0),MATCH(K$1,matriz_valor!$B$1:$J$1,0))*$G19&lt;=$E19),"cumple","no cumple"))))</f>
        <v/>
      </c>
      <c r="L19">
        <f>IF(ISNA(MATCH($A19,matriz_valor!$A$2:$A$26,0)),"no analizado",IF(INDEX(matriz_valor!$B$2:$J$26,MATCH($A19,matriz_valor!$A$2:$A$26,0),MATCH(L$1,matriz_valor!$B$1:$J$1,0))="","no analizado",IF(INDEX(matriz_signo!$B$2:$J$26,MATCH($A19,matriz_valor!$A$2:$A$26,0),MATCH(L$1,matriz_valor!$B$1:$J$1,0))="&lt;",IF($D19&lt;&gt;"","no concluyente",IF(INDEX(matriz_valor!$B$2:$J$26,MATCH($A19,matriz_valor!$A$2:$A$26,0),MATCH(L$1,matriz_valor!$B$1:$J$1,0))*$G19&lt;=$E19,"cumple","no concluyente")),IF(AND(OR($D19="",INDEX(matriz_valor!$B$2:$J$26,MATCH($A19,matriz_valor!$A$2:$A$26,0),MATCH(L$1,matriz_valor!$B$1:$J$1,0))*$G19&gt;=$D19),INDEX(matriz_valor!$B$2:$J$26,MATCH($A19,matriz_valor!$A$2:$A$26,0),MATCH(L$1,matriz_valor!$B$1:$J$1,0))*$G19&lt;=$E19),"cumple","no cumple"))))</f>
        <v/>
      </c>
      <c r="M19">
        <f>IF(ISNA(MATCH($A19,matriz_valor!$A$2:$A$26,0)),"no analizado",IF(INDEX(matriz_valor!$B$2:$J$26,MATCH($A19,matriz_valor!$A$2:$A$26,0),MATCH(M$1,matriz_valor!$B$1:$J$1,0))="","no analizado",IF(INDEX(matriz_signo!$B$2:$J$26,MATCH($A19,matriz_valor!$A$2:$A$26,0),MATCH(M$1,matriz_valor!$B$1:$J$1,0))="&lt;",IF($D19&lt;&gt;"","no concluyente",IF(INDEX(matriz_valor!$B$2:$J$26,MATCH($A19,matriz_valor!$A$2:$A$26,0),MATCH(M$1,matriz_valor!$B$1:$J$1,0))*$G19&lt;=$E19,"cumple","no concluyente")),IF(AND(OR($D19="",INDEX(matriz_valor!$B$2:$J$26,MATCH($A19,matriz_valor!$A$2:$A$26,0),MATCH(M$1,matriz_valor!$B$1:$J$1,0))*$G19&gt;=$D19),INDEX(matriz_valor!$B$2:$J$26,MATCH($A19,matriz_valor!$A$2:$A$26,0),MATCH(M$1,matriz_valor!$B$1:$J$1,0))*$G19&lt;=$E19),"cumple","no cumple"))))</f>
        <v/>
      </c>
      <c r="N19">
        <f>IF(ISNA(MATCH($A19,matriz_valor!$A$2:$A$26,0)),"no analizado",IF(INDEX(matriz_valor!$B$2:$J$26,MATCH($A19,matriz_valor!$A$2:$A$26,0),MATCH(N$1,matriz_valor!$B$1:$J$1,0))="","no analizado",IF(INDEX(matriz_signo!$B$2:$J$26,MATCH($A19,matriz_valor!$A$2:$A$26,0),MATCH(N$1,matriz_valor!$B$1:$J$1,0))="&lt;",IF($D19&lt;&gt;"","no concluyente",IF(INDEX(matriz_valor!$B$2:$J$26,MATCH($A19,matriz_valor!$A$2:$A$26,0),MATCH(N$1,matriz_valor!$B$1:$J$1,0))*$G19&lt;=$E19,"cumple","no concluyente")),IF(AND(OR($D19="",INDEX(matriz_valor!$B$2:$J$26,MATCH($A19,matriz_valor!$A$2:$A$26,0),MATCH(N$1,matriz_valor!$B$1:$J$1,0))*$G19&gt;=$D19),INDEX(matriz_valor!$B$2:$J$26,MATCH($A19,matriz_valor!$A$2:$A$26,0),MATCH(N$1,matriz_valor!$B$1:$J$1,0))*$G19&lt;=$E19),"cumple","no cumple"))))</f>
        <v/>
      </c>
      <c r="O19">
        <f>IF(ISNA(MATCH($A19,matriz_valor!$A$2:$A$26,0)),"no analizado",IF(INDEX(matriz_valor!$B$2:$J$26,MATCH($A19,matriz_valor!$A$2:$A$26,0),MATCH(O$1,matriz_valor!$B$1:$J$1,0))="","no analizado",IF(INDEX(matriz_signo!$B$2:$J$26,MATCH($A19,matriz_valor!$A$2:$A$26,0),MATCH(O$1,matriz_valor!$B$1:$J$1,0))="&lt;",IF($D19&lt;&gt;"","no concluyente",IF(INDEX(matriz_valor!$B$2:$J$26,MATCH($A19,matriz_valor!$A$2:$A$26,0),MATCH(O$1,matriz_valor!$B$1:$J$1,0))*$G19&lt;=$E19,"cumple","no concluyente")),IF(AND(OR($D19="",INDEX(matriz_valor!$B$2:$J$26,MATCH($A19,matriz_valor!$A$2:$A$26,0),MATCH(O$1,matriz_valor!$B$1:$J$1,0))*$G19&gt;=$D19),INDEX(matriz_valor!$B$2:$J$26,MATCH($A19,matriz_valor!$A$2:$A$26,0),MATCH(O$1,matriz_valor!$B$1:$J$1,0))*$G19&lt;=$E19),"cumple","no cumple"))))</f>
        <v/>
      </c>
      <c r="P19">
        <f>IF(ISNA(MATCH($A19,matriz_valor!$A$2:$A$26,0)),"no analizado",IF(INDEX(matriz_valor!$B$2:$J$26,MATCH($A19,matriz_valor!$A$2:$A$26,0),MATCH(P$1,matriz_valor!$B$1:$J$1,0))="","no analizado",IF(INDEX(matriz_signo!$B$2:$J$26,MATCH($A19,matriz_valor!$A$2:$A$26,0),MATCH(P$1,matriz_valor!$B$1:$J$1,0))="&lt;",IF($D19&lt;&gt;"","no concluyente",IF(INDEX(matriz_valor!$B$2:$J$26,MATCH($A19,matriz_valor!$A$2:$A$26,0),MATCH(P$1,matriz_valor!$B$1:$J$1,0))*$G19&lt;=$E19,"cumple","no concluyente")),IF(AND(OR($D19="",INDEX(matriz_valor!$B$2:$J$26,MATCH($A19,matriz_valor!$A$2:$A$26,0),MATCH(P$1,matriz_valor!$B$1:$J$1,0))*$G19&gt;=$D19),INDEX(matriz_valor!$B$2:$J$26,MATCH($A19,matriz_valor!$A$2:$A$26,0),MATCH(P$1,matriz_valor!$B$1:$J$1,0))*$G19&lt;=$E19),"cumple","no cumple"))))</f>
        <v/>
      </c>
    </row>
    <row r="20">
      <c r="A20" t="inlineStr">
        <is>
          <t>fluoruros</t>
        </is>
      </c>
      <c r="B20" t="inlineStr">
        <is>
          <t>Fluoruros</t>
        </is>
      </c>
      <c r="C20" t="n">
        <v>1</v>
      </c>
      <c r="E20" t="n">
        <v>1</v>
      </c>
      <c r="F20" t="inlineStr">
        <is>
          <t>mg/L F</t>
        </is>
      </c>
      <c r="G20" t="n">
        <v>1</v>
      </c>
      <c r="H20">
        <f>IF(ISNA(MATCH($A20,matriz_valor!$A$2:$A$26,0)),"no analizado",IF(INDEX(matriz_valor!$B$2:$J$26,MATCH($A20,matriz_valor!$A$2:$A$26,0),MATCH(H$1,matriz_valor!$B$1:$J$1,0))="","no analizado",IF(INDEX(matriz_signo!$B$2:$J$26,MATCH($A20,matriz_valor!$A$2:$A$26,0),MATCH(H$1,matriz_valor!$B$1:$J$1,0))="&lt;",IF($D20&lt;&gt;"","no concluyente",IF(INDEX(matriz_valor!$B$2:$J$26,MATCH($A20,matriz_valor!$A$2:$A$26,0),MATCH(H$1,matriz_valor!$B$1:$J$1,0))*$G20&lt;=$E20,"cumple","no concluyente")),IF(AND(OR($D20="",INDEX(matriz_valor!$B$2:$J$26,MATCH($A20,matriz_valor!$A$2:$A$26,0),MATCH(H$1,matriz_valor!$B$1:$J$1,0))*$G20&gt;=$D20),INDEX(matriz_valor!$B$2:$J$26,MATCH($A20,matriz_valor!$A$2:$A$26,0),MATCH(H$1,matriz_valor!$B$1:$J$1,0))*$G20&lt;=$E20),"cumple","no cumple"))))</f>
        <v/>
      </c>
      <c r="I20">
        <f>IF(ISNA(MATCH($A20,matriz_valor!$A$2:$A$26,0)),"no analizado",IF(INDEX(matriz_valor!$B$2:$J$26,MATCH($A20,matriz_valor!$A$2:$A$26,0),MATCH(I$1,matriz_valor!$B$1:$J$1,0))="","no analizado",IF(INDEX(matriz_signo!$B$2:$J$26,MATCH($A20,matriz_valor!$A$2:$A$26,0),MATCH(I$1,matriz_valor!$B$1:$J$1,0))="&lt;",IF($D20&lt;&gt;"","no concluyente",IF(INDEX(matriz_valor!$B$2:$J$26,MATCH($A20,matriz_valor!$A$2:$A$26,0),MATCH(I$1,matriz_valor!$B$1:$J$1,0))*$G20&lt;=$E20,"cumple","no concluyente")),IF(AND(OR($D20="",INDEX(matriz_valor!$B$2:$J$26,MATCH($A20,matriz_valor!$A$2:$A$26,0),MATCH(I$1,matriz_valor!$B$1:$J$1,0))*$G20&gt;=$D20),INDEX(matriz_valor!$B$2:$J$26,MATCH($A20,matriz_valor!$A$2:$A$26,0),MATCH(I$1,matriz_valor!$B$1:$J$1,0))*$G20&lt;=$E20),"cumple","no cumple"))))</f>
        <v/>
      </c>
      <c r="J20">
        <f>IF(ISNA(MATCH($A20,matriz_valor!$A$2:$A$26,0)),"no analizado",IF(INDEX(matriz_valor!$B$2:$J$26,MATCH($A20,matriz_valor!$A$2:$A$26,0),MATCH(J$1,matriz_valor!$B$1:$J$1,0))="","no analizado",IF(INDEX(matriz_signo!$B$2:$J$26,MATCH($A20,matriz_valor!$A$2:$A$26,0),MATCH(J$1,matriz_valor!$B$1:$J$1,0))="&lt;",IF($D20&lt;&gt;"","no concluyente",IF(INDEX(matriz_valor!$B$2:$J$26,MATCH($A20,matriz_valor!$A$2:$A$26,0),MATCH(J$1,matriz_valor!$B$1:$J$1,0))*$G20&lt;=$E20,"cumple","no concluyente")),IF(AND(OR($D20="",INDEX(matriz_valor!$B$2:$J$26,MATCH($A20,matriz_valor!$A$2:$A$26,0),MATCH(J$1,matriz_valor!$B$1:$J$1,0))*$G20&gt;=$D20),INDEX(matriz_valor!$B$2:$J$26,MATCH($A20,matriz_valor!$A$2:$A$26,0),MATCH(J$1,matriz_valor!$B$1:$J$1,0))*$G20&lt;=$E20),"cumple","no cumple"))))</f>
        <v/>
      </c>
      <c r="K20">
        <f>IF(ISNA(MATCH($A20,matriz_valor!$A$2:$A$26,0)),"no analizado",IF(INDEX(matriz_valor!$B$2:$J$26,MATCH($A20,matriz_valor!$A$2:$A$26,0),MATCH(K$1,matriz_valor!$B$1:$J$1,0))="","no analizado",IF(INDEX(matriz_signo!$B$2:$J$26,MATCH($A20,matriz_valor!$A$2:$A$26,0),MATCH(K$1,matriz_valor!$B$1:$J$1,0))="&lt;",IF($D20&lt;&gt;"","no concluyente",IF(INDEX(matriz_valor!$B$2:$J$26,MATCH($A20,matriz_valor!$A$2:$A$26,0),MATCH(K$1,matriz_valor!$B$1:$J$1,0))*$G20&lt;=$E20,"cumple","no concluyente")),IF(AND(OR($D20="",INDEX(matriz_valor!$B$2:$J$26,MATCH($A20,matriz_valor!$A$2:$A$26,0),MATCH(K$1,matriz_valor!$B$1:$J$1,0))*$G20&gt;=$D20),INDEX(matriz_valor!$B$2:$J$26,MATCH($A20,matriz_valor!$A$2:$A$26,0),MATCH(K$1,matriz_valor!$B$1:$J$1,0))*$G20&lt;=$E20),"cumple","no cumple"))))</f>
        <v/>
      </c>
      <c r="L20">
        <f>IF(ISNA(MATCH($A20,matriz_valor!$A$2:$A$26,0)),"no analizado",IF(INDEX(matriz_valor!$B$2:$J$26,MATCH($A20,matriz_valor!$A$2:$A$26,0),MATCH(L$1,matriz_valor!$B$1:$J$1,0))="","no analizado",IF(INDEX(matriz_signo!$B$2:$J$26,MATCH($A20,matriz_valor!$A$2:$A$26,0),MATCH(L$1,matriz_valor!$B$1:$J$1,0))="&lt;",IF($D20&lt;&gt;"","no concluyente",IF(INDEX(matriz_valor!$B$2:$J$26,MATCH($A20,matriz_valor!$A$2:$A$26,0),MATCH(L$1,matriz_valor!$B$1:$J$1,0))*$G20&lt;=$E20,"cumple","no concluyente")),IF(AND(OR($D20="",INDEX(matriz_valor!$B$2:$J$26,MATCH($A20,matriz_valor!$A$2:$A$26,0),MATCH(L$1,matriz_valor!$B$1:$J$1,0))*$G20&gt;=$D20),INDEX(matriz_valor!$B$2:$J$26,MATCH($A20,matriz_valor!$A$2:$A$26,0),MATCH(L$1,matriz_valor!$B$1:$J$1,0))*$G20&lt;=$E20),"cumple","no cumple"))))</f>
        <v/>
      </c>
      <c r="M20">
        <f>IF(ISNA(MATCH($A20,matriz_valor!$A$2:$A$26,0)),"no analizado",IF(INDEX(matriz_valor!$B$2:$J$26,MATCH($A20,matriz_valor!$A$2:$A$26,0),MATCH(M$1,matriz_valor!$B$1:$J$1,0))="","no analizado",IF(INDEX(matriz_signo!$B$2:$J$26,MATCH($A20,matriz_valor!$A$2:$A$26,0),MATCH(M$1,matriz_valor!$B$1:$J$1,0))="&lt;",IF($D20&lt;&gt;"","no concluyente",IF(INDEX(matriz_valor!$B$2:$J$26,MATCH($A20,matriz_valor!$A$2:$A$26,0),MATCH(M$1,matriz_valor!$B$1:$J$1,0))*$G20&lt;=$E20,"cumple","no concluyente")),IF(AND(OR($D20="",INDEX(matriz_valor!$B$2:$J$26,MATCH($A20,matriz_valor!$A$2:$A$26,0),MATCH(M$1,matriz_valor!$B$1:$J$1,0))*$G20&gt;=$D20),INDEX(matriz_valor!$B$2:$J$26,MATCH($A20,matriz_valor!$A$2:$A$26,0),MATCH(M$1,matriz_valor!$B$1:$J$1,0))*$G20&lt;=$E20),"cumple","no cumple"))))</f>
        <v/>
      </c>
      <c r="N20">
        <f>IF(ISNA(MATCH($A20,matriz_valor!$A$2:$A$26,0)),"no analizado",IF(INDEX(matriz_valor!$B$2:$J$26,MATCH($A20,matriz_valor!$A$2:$A$26,0),MATCH(N$1,matriz_valor!$B$1:$J$1,0))="","no analizado",IF(INDEX(matriz_signo!$B$2:$J$26,MATCH($A20,matriz_valor!$A$2:$A$26,0),MATCH(N$1,matriz_valor!$B$1:$J$1,0))="&lt;",IF($D20&lt;&gt;"","no concluyente",IF(INDEX(matriz_valor!$B$2:$J$26,MATCH($A20,matriz_valor!$A$2:$A$26,0),MATCH(N$1,matriz_valor!$B$1:$J$1,0))*$G20&lt;=$E20,"cumple","no concluyente")),IF(AND(OR($D20="",INDEX(matriz_valor!$B$2:$J$26,MATCH($A20,matriz_valor!$A$2:$A$26,0),MATCH(N$1,matriz_valor!$B$1:$J$1,0))*$G20&gt;=$D20),INDEX(matriz_valor!$B$2:$J$26,MATCH($A20,matriz_valor!$A$2:$A$26,0),MATCH(N$1,matriz_valor!$B$1:$J$1,0))*$G20&lt;=$E20),"cumple","no cumple"))))</f>
        <v/>
      </c>
      <c r="O20">
        <f>IF(ISNA(MATCH($A20,matriz_valor!$A$2:$A$26,0)),"no analizado",IF(INDEX(matriz_valor!$B$2:$J$26,MATCH($A20,matriz_valor!$A$2:$A$26,0),MATCH(O$1,matriz_valor!$B$1:$J$1,0))="","no analizado",IF(INDEX(matriz_signo!$B$2:$J$26,MATCH($A20,matriz_valor!$A$2:$A$26,0),MATCH(O$1,matriz_valor!$B$1:$J$1,0))="&lt;",IF($D20&lt;&gt;"","no concluyente",IF(INDEX(matriz_valor!$B$2:$J$26,MATCH($A20,matriz_valor!$A$2:$A$26,0),MATCH(O$1,matriz_valor!$B$1:$J$1,0))*$G20&lt;=$E20,"cumple","no concluyente")),IF(AND(OR($D20="",INDEX(matriz_valor!$B$2:$J$26,MATCH($A20,matriz_valor!$A$2:$A$26,0),MATCH(O$1,matriz_valor!$B$1:$J$1,0))*$G20&gt;=$D20),INDEX(matriz_valor!$B$2:$J$26,MATCH($A20,matriz_valor!$A$2:$A$26,0),MATCH(O$1,matriz_valor!$B$1:$J$1,0))*$G20&lt;=$E20),"cumple","no cumple"))))</f>
        <v/>
      </c>
      <c r="P20">
        <f>IF(ISNA(MATCH($A20,matriz_valor!$A$2:$A$26,0)),"no analizado",IF(INDEX(matriz_valor!$B$2:$J$26,MATCH($A20,matriz_valor!$A$2:$A$26,0),MATCH(P$1,matriz_valor!$B$1:$J$1,0))="","no analizado",IF(INDEX(matriz_signo!$B$2:$J$26,MATCH($A20,matriz_valor!$A$2:$A$26,0),MATCH(P$1,matriz_valor!$B$1:$J$1,0))="&lt;",IF($D20&lt;&gt;"","no concluyente",IF(INDEX(matriz_valor!$B$2:$J$26,MATCH($A20,matriz_valor!$A$2:$A$26,0),MATCH(P$1,matriz_valor!$B$1:$J$1,0))*$G20&lt;=$E20,"cumple","no concluyente")),IF(AND(OR($D20="",INDEX(matriz_valor!$B$2:$J$26,MATCH($A20,matriz_valor!$A$2:$A$26,0),MATCH(P$1,matriz_valor!$B$1:$J$1,0))*$G20&gt;=$D20),INDEX(matriz_valor!$B$2:$J$26,MATCH($A20,matriz_valor!$A$2:$A$26,0),MATCH(P$1,matriz_valor!$B$1:$J$1,0))*$G20&lt;=$E20),"cumple","no cumple"))))</f>
        <v/>
      </c>
    </row>
    <row r="21">
      <c r="A21" t="inlineStr">
        <is>
          <t>cot</t>
        </is>
      </c>
      <c r="B21" t="inlineStr">
        <is>
          <t>COT</t>
        </is>
      </c>
      <c r="C21" t="n">
        <v>3</v>
      </c>
      <c r="E21" t="n">
        <v>5</v>
      </c>
      <c r="F21" t="inlineStr">
        <is>
          <t>mg/L C</t>
        </is>
      </c>
      <c r="G21" t="n">
        <v>1</v>
      </c>
      <c r="H21">
        <f>IF(ISNA(MATCH($A21,matriz_valor!$A$2:$A$26,0)),"no analizado",IF(INDEX(matriz_valor!$B$2:$J$26,MATCH($A21,matriz_valor!$A$2:$A$26,0),MATCH(H$1,matriz_valor!$B$1:$J$1,0))="","no analizado",IF(INDEX(matriz_signo!$B$2:$J$26,MATCH($A21,matriz_valor!$A$2:$A$26,0),MATCH(H$1,matriz_valor!$B$1:$J$1,0))="&lt;",IF($D21&lt;&gt;"","no concluyente",IF(INDEX(matriz_valor!$B$2:$J$26,MATCH($A21,matriz_valor!$A$2:$A$26,0),MATCH(H$1,matriz_valor!$B$1:$J$1,0))*$G21&lt;=$E21,"cumple","no concluyente")),IF(AND(OR($D21="",INDEX(matriz_valor!$B$2:$J$26,MATCH($A21,matriz_valor!$A$2:$A$26,0),MATCH(H$1,matriz_valor!$B$1:$J$1,0))*$G21&gt;=$D21),INDEX(matriz_valor!$B$2:$J$26,MATCH($A21,matriz_valor!$A$2:$A$26,0),MATCH(H$1,matriz_valor!$B$1:$J$1,0))*$G21&lt;=$E21),"cumple","no cumple"))))</f>
        <v/>
      </c>
      <c r="I21">
        <f>IF(ISNA(MATCH($A21,matriz_valor!$A$2:$A$26,0)),"no analizado",IF(INDEX(matriz_valor!$B$2:$J$26,MATCH($A21,matriz_valor!$A$2:$A$26,0),MATCH(I$1,matriz_valor!$B$1:$J$1,0))="","no analizado",IF(INDEX(matriz_signo!$B$2:$J$26,MATCH($A21,matriz_valor!$A$2:$A$26,0),MATCH(I$1,matriz_valor!$B$1:$J$1,0))="&lt;",IF($D21&lt;&gt;"","no concluyente",IF(INDEX(matriz_valor!$B$2:$J$26,MATCH($A21,matriz_valor!$A$2:$A$26,0),MATCH(I$1,matriz_valor!$B$1:$J$1,0))*$G21&lt;=$E21,"cumple","no concluyente")),IF(AND(OR($D21="",INDEX(matriz_valor!$B$2:$J$26,MATCH($A21,matriz_valor!$A$2:$A$26,0),MATCH(I$1,matriz_valor!$B$1:$J$1,0))*$G21&gt;=$D21),INDEX(matriz_valor!$B$2:$J$26,MATCH($A21,matriz_valor!$A$2:$A$26,0),MATCH(I$1,matriz_valor!$B$1:$J$1,0))*$G21&lt;=$E21),"cumple","no cumple"))))</f>
        <v/>
      </c>
      <c r="J21">
        <f>IF(ISNA(MATCH($A21,matriz_valor!$A$2:$A$26,0)),"no analizado",IF(INDEX(matriz_valor!$B$2:$J$26,MATCH($A21,matriz_valor!$A$2:$A$26,0),MATCH(J$1,matriz_valor!$B$1:$J$1,0))="","no analizado",IF(INDEX(matriz_signo!$B$2:$J$26,MATCH($A21,matriz_valor!$A$2:$A$26,0),MATCH(J$1,matriz_valor!$B$1:$J$1,0))="&lt;",IF($D21&lt;&gt;"","no concluyente",IF(INDEX(matriz_valor!$B$2:$J$26,MATCH($A21,matriz_valor!$A$2:$A$26,0),MATCH(J$1,matriz_valor!$B$1:$J$1,0))*$G21&lt;=$E21,"cumple","no concluyente")),IF(AND(OR($D21="",INDEX(matriz_valor!$B$2:$J$26,MATCH($A21,matriz_valor!$A$2:$A$26,0),MATCH(J$1,matriz_valor!$B$1:$J$1,0))*$G21&gt;=$D21),INDEX(matriz_valor!$B$2:$J$26,MATCH($A21,matriz_valor!$A$2:$A$26,0),MATCH(J$1,matriz_valor!$B$1:$J$1,0))*$G21&lt;=$E21),"cumple","no cumple"))))</f>
        <v/>
      </c>
      <c r="K21">
        <f>IF(ISNA(MATCH($A21,matriz_valor!$A$2:$A$26,0)),"no analizado",IF(INDEX(matriz_valor!$B$2:$J$26,MATCH($A21,matriz_valor!$A$2:$A$26,0),MATCH(K$1,matriz_valor!$B$1:$J$1,0))="","no analizado",IF(INDEX(matriz_signo!$B$2:$J$26,MATCH($A21,matriz_valor!$A$2:$A$26,0),MATCH(K$1,matriz_valor!$B$1:$J$1,0))="&lt;",IF($D21&lt;&gt;"","no concluyente",IF(INDEX(matriz_valor!$B$2:$J$26,MATCH($A21,matriz_valor!$A$2:$A$26,0),MATCH(K$1,matriz_valor!$B$1:$J$1,0))*$G21&lt;=$E21,"cumple","no concluyente")),IF(AND(OR($D21="",INDEX(matriz_valor!$B$2:$J$26,MATCH($A21,matriz_valor!$A$2:$A$26,0),MATCH(K$1,matriz_valor!$B$1:$J$1,0))*$G21&gt;=$D21),INDEX(matriz_valor!$B$2:$J$26,MATCH($A21,matriz_valor!$A$2:$A$26,0),MATCH(K$1,matriz_valor!$B$1:$J$1,0))*$G21&lt;=$E21),"cumple","no cumple"))))</f>
        <v/>
      </c>
      <c r="L21">
        <f>IF(ISNA(MATCH($A21,matriz_valor!$A$2:$A$26,0)),"no analizado",IF(INDEX(matriz_valor!$B$2:$J$26,MATCH($A21,matriz_valor!$A$2:$A$26,0),MATCH(L$1,matriz_valor!$B$1:$J$1,0))="","no analizado",IF(INDEX(matriz_signo!$B$2:$J$26,MATCH($A21,matriz_valor!$A$2:$A$26,0),MATCH(L$1,matriz_valor!$B$1:$J$1,0))="&lt;",IF($D21&lt;&gt;"","no concluyente",IF(INDEX(matriz_valor!$B$2:$J$26,MATCH($A21,matriz_valor!$A$2:$A$26,0),MATCH(L$1,matriz_valor!$B$1:$J$1,0))*$G21&lt;=$E21,"cumple","no concluyente")),IF(AND(OR($D21="",INDEX(matriz_valor!$B$2:$J$26,MATCH($A21,matriz_valor!$A$2:$A$26,0),MATCH(L$1,matriz_valor!$B$1:$J$1,0))*$G21&gt;=$D21),INDEX(matriz_valor!$B$2:$J$26,MATCH($A21,matriz_valor!$A$2:$A$26,0),MATCH(L$1,matriz_valor!$B$1:$J$1,0))*$G21&lt;=$E21),"cumple","no cumple"))))</f>
        <v/>
      </c>
      <c r="M21">
        <f>IF(ISNA(MATCH($A21,matriz_valor!$A$2:$A$26,0)),"no analizado",IF(INDEX(matriz_valor!$B$2:$J$26,MATCH($A21,matriz_valor!$A$2:$A$26,0),MATCH(M$1,matriz_valor!$B$1:$J$1,0))="","no analizado",IF(INDEX(matriz_signo!$B$2:$J$26,MATCH($A21,matriz_valor!$A$2:$A$26,0),MATCH(M$1,matriz_valor!$B$1:$J$1,0))="&lt;",IF($D21&lt;&gt;"","no concluyente",IF(INDEX(matriz_valor!$B$2:$J$26,MATCH($A21,matriz_valor!$A$2:$A$26,0),MATCH(M$1,matriz_valor!$B$1:$J$1,0))*$G21&lt;=$E21,"cumple","no concluyente")),IF(AND(OR($D21="",INDEX(matriz_valor!$B$2:$J$26,MATCH($A21,matriz_valor!$A$2:$A$26,0),MATCH(M$1,matriz_valor!$B$1:$J$1,0))*$G21&gt;=$D21),INDEX(matriz_valor!$B$2:$J$26,MATCH($A21,matriz_valor!$A$2:$A$26,0),MATCH(M$1,matriz_valor!$B$1:$J$1,0))*$G21&lt;=$E21),"cumple","no cumple"))))</f>
        <v/>
      </c>
      <c r="N21">
        <f>IF(ISNA(MATCH($A21,matriz_valor!$A$2:$A$26,0)),"no analizado",IF(INDEX(matriz_valor!$B$2:$J$26,MATCH($A21,matriz_valor!$A$2:$A$26,0),MATCH(N$1,matriz_valor!$B$1:$J$1,0))="","no analizado",IF(INDEX(matriz_signo!$B$2:$J$26,MATCH($A21,matriz_valor!$A$2:$A$26,0),MATCH(N$1,matriz_valor!$B$1:$J$1,0))="&lt;",IF($D21&lt;&gt;"","no concluyente",IF(INDEX(matriz_valor!$B$2:$J$26,MATCH($A21,matriz_valor!$A$2:$A$26,0),MATCH(N$1,matriz_valor!$B$1:$J$1,0))*$G21&lt;=$E21,"cumple","no concluyente")),IF(AND(OR($D21="",INDEX(matriz_valor!$B$2:$J$26,MATCH($A21,matriz_valor!$A$2:$A$26,0),MATCH(N$1,matriz_valor!$B$1:$J$1,0))*$G21&gt;=$D21),INDEX(matriz_valor!$B$2:$J$26,MATCH($A21,matriz_valor!$A$2:$A$26,0),MATCH(N$1,matriz_valor!$B$1:$J$1,0))*$G21&lt;=$E21),"cumple","no cumple"))))</f>
        <v/>
      </c>
      <c r="O21">
        <f>IF(ISNA(MATCH($A21,matriz_valor!$A$2:$A$26,0)),"no analizado",IF(INDEX(matriz_valor!$B$2:$J$26,MATCH($A21,matriz_valor!$A$2:$A$26,0),MATCH(O$1,matriz_valor!$B$1:$J$1,0))="","no analizado",IF(INDEX(matriz_signo!$B$2:$J$26,MATCH($A21,matriz_valor!$A$2:$A$26,0),MATCH(O$1,matriz_valor!$B$1:$J$1,0))="&lt;",IF($D21&lt;&gt;"","no concluyente",IF(INDEX(matriz_valor!$B$2:$J$26,MATCH($A21,matriz_valor!$A$2:$A$26,0),MATCH(O$1,matriz_valor!$B$1:$J$1,0))*$G21&lt;=$E21,"cumple","no concluyente")),IF(AND(OR($D21="",INDEX(matriz_valor!$B$2:$J$26,MATCH($A21,matriz_valor!$A$2:$A$26,0),MATCH(O$1,matriz_valor!$B$1:$J$1,0))*$G21&gt;=$D21),INDEX(matriz_valor!$B$2:$J$26,MATCH($A21,matriz_valor!$A$2:$A$26,0),MATCH(O$1,matriz_valor!$B$1:$J$1,0))*$G21&lt;=$E21),"cumple","no cumple"))))</f>
        <v/>
      </c>
      <c r="P21">
        <f>IF(ISNA(MATCH($A21,matriz_valor!$A$2:$A$26,0)),"no analizado",IF(INDEX(matriz_valor!$B$2:$J$26,MATCH($A21,matriz_valor!$A$2:$A$26,0),MATCH(P$1,matriz_valor!$B$1:$J$1,0))="","no analizado",IF(INDEX(matriz_signo!$B$2:$J$26,MATCH($A21,matriz_valor!$A$2:$A$26,0),MATCH(P$1,matriz_valor!$B$1:$J$1,0))="&lt;",IF($D21&lt;&gt;"","no concluyente",IF(INDEX(matriz_valor!$B$2:$J$26,MATCH($A21,matriz_valor!$A$2:$A$26,0),MATCH(P$1,matriz_valor!$B$1:$J$1,0))*$G21&lt;=$E21,"cumple","no concluyente")),IF(AND(OR($D21="",INDEX(matriz_valor!$B$2:$J$26,MATCH($A21,matriz_valor!$A$2:$A$26,0),MATCH(P$1,matriz_valor!$B$1:$J$1,0))*$G21&gt;=$D21),INDEX(matriz_valor!$B$2:$J$26,MATCH($A21,matriz_valor!$A$2:$A$26,0),MATCH(P$1,matriz_valor!$B$1:$J$1,0))*$G21&lt;=$E21),"cumple","no cumple"))))</f>
        <v/>
      </c>
    </row>
    <row r="22">
      <c r="A22" t="inlineStr">
        <is>
          <t>coliformes_totales</t>
        </is>
      </c>
      <c r="B22" t="inlineStr">
        <is>
          <t>Coliformes totales</t>
        </is>
      </c>
      <c r="C22" t="n">
        <v>15</v>
      </c>
      <c r="E22" t="n">
        <v>0</v>
      </c>
      <c r="F22" t="inlineStr">
        <is>
          <t>por 100 mL</t>
        </is>
      </c>
      <c r="G22" t="n">
        <v>1</v>
      </c>
      <c r="H22">
        <f>IF(ISNA(MATCH($A22,matriz_valor!$A$2:$A$26,0)),"no analizado",IF(INDEX(matriz_valor!$B$2:$J$26,MATCH($A22,matriz_valor!$A$2:$A$26,0),MATCH(H$1,matriz_valor!$B$1:$J$1,0))="","no analizado",IF(INDEX(matriz_signo!$B$2:$J$26,MATCH($A22,matriz_valor!$A$2:$A$26,0),MATCH(H$1,matriz_valor!$B$1:$J$1,0))="&lt;",IF($D22&lt;&gt;"","no concluyente",IF(INDEX(matriz_valor!$B$2:$J$26,MATCH($A22,matriz_valor!$A$2:$A$26,0),MATCH(H$1,matriz_valor!$B$1:$J$1,0))*$G22&lt;=$E22,"cumple","no concluyente")),IF(AND(OR($D22="",INDEX(matriz_valor!$B$2:$J$26,MATCH($A22,matriz_valor!$A$2:$A$26,0),MATCH(H$1,matriz_valor!$B$1:$J$1,0))*$G22&gt;=$D22),INDEX(matriz_valor!$B$2:$J$26,MATCH($A22,matriz_valor!$A$2:$A$26,0),MATCH(H$1,matriz_valor!$B$1:$J$1,0))*$G22&lt;=$E22),"cumple","no cumple"))))</f>
        <v/>
      </c>
      <c r="I22">
        <f>IF(ISNA(MATCH($A22,matriz_valor!$A$2:$A$26,0)),"no analizado",IF(INDEX(matriz_valor!$B$2:$J$26,MATCH($A22,matriz_valor!$A$2:$A$26,0),MATCH(I$1,matriz_valor!$B$1:$J$1,0))="","no analizado",IF(INDEX(matriz_signo!$B$2:$J$26,MATCH($A22,matriz_valor!$A$2:$A$26,0),MATCH(I$1,matriz_valor!$B$1:$J$1,0))="&lt;",IF($D22&lt;&gt;"","no concluyente",IF(INDEX(matriz_valor!$B$2:$J$26,MATCH($A22,matriz_valor!$A$2:$A$26,0),MATCH(I$1,matriz_valor!$B$1:$J$1,0))*$G22&lt;=$E22,"cumple","no concluyente")),IF(AND(OR($D22="",INDEX(matriz_valor!$B$2:$J$26,MATCH($A22,matriz_valor!$A$2:$A$26,0),MATCH(I$1,matriz_valor!$B$1:$J$1,0))*$G22&gt;=$D22),INDEX(matriz_valor!$B$2:$J$26,MATCH($A22,matriz_valor!$A$2:$A$26,0),MATCH(I$1,matriz_valor!$B$1:$J$1,0))*$G22&lt;=$E22),"cumple","no cumple"))))</f>
        <v/>
      </c>
      <c r="J22">
        <f>IF(ISNA(MATCH($A22,matriz_valor!$A$2:$A$26,0)),"no analizado",IF(INDEX(matriz_valor!$B$2:$J$26,MATCH($A22,matriz_valor!$A$2:$A$26,0),MATCH(J$1,matriz_valor!$B$1:$J$1,0))="","no analizado",IF(INDEX(matriz_signo!$B$2:$J$26,MATCH($A22,matriz_valor!$A$2:$A$26,0),MATCH(J$1,matriz_valor!$B$1:$J$1,0))="&lt;",IF($D22&lt;&gt;"","no concluyente",IF(INDEX(matriz_valor!$B$2:$J$26,MATCH($A22,matriz_valor!$A$2:$A$26,0),MATCH(J$1,matriz_valor!$B$1:$J$1,0))*$G22&lt;=$E22,"cumple","no concluyente")),IF(AND(OR($D22="",INDEX(matriz_valor!$B$2:$J$26,MATCH($A22,matriz_valor!$A$2:$A$26,0),MATCH(J$1,matriz_valor!$B$1:$J$1,0))*$G22&gt;=$D22),INDEX(matriz_valor!$B$2:$J$26,MATCH($A22,matriz_valor!$A$2:$A$26,0),MATCH(J$1,matriz_valor!$B$1:$J$1,0))*$G22&lt;=$E22),"cumple","no cumple"))))</f>
        <v/>
      </c>
      <c r="K22">
        <f>IF(ISNA(MATCH($A22,matriz_valor!$A$2:$A$26,0)),"no analizado",IF(INDEX(matriz_valor!$B$2:$J$26,MATCH($A22,matriz_valor!$A$2:$A$26,0),MATCH(K$1,matriz_valor!$B$1:$J$1,0))="","no analizado",IF(INDEX(matriz_signo!$B$2:$J$26,MATCH($A22,matriz_valor!$A$2:$A$26,0),MATCH(K$1,matriz_valor!$B$1:$J$1,0))="&lt;",IF($D22&lt;&gt;"","no concluyente",IF(INDEX(matriz_valor!$B$2:$J$26,MATCH($A22,matriz_valor!$A$2:$A$26,0),MATCH(K$1,matriz_valor!$B$1:$J$1,0))*$G22&lt;=$E22,"cumple","no concluyente")),IF(AND(OR($D22="",INDEX(matriz_valor!$B$2:$J$26,MATCH($A22,matriz_valor!$A$2:$A$26,0),MATCH(K$1,matriz_valor!$B$1:$J$1,0))*$G22&gt;=$D22),INDEX(matriz_valor!$B$2:$J$26,MATCH($A22,matriz_valor!$A$2:$A$26,0),MATCH(K$1,matriz_valor!$B$1:$J$1,0))*$G22&lt;=$E22),"cumple","no cumple"))))</f>
        <v/>
      </c>
      <c r="L22">
        <f>IF(ISNA(MATCH($A22,matriz_valor!$A$2:$A$26,0)),"no analizado",IF(INDEX(matriz_valor!$B$2:$J$26,MATCH($A22,matriz_valor!$A$2:$A$26,0),MATCH(L$1,matriz_valor!$B$1:$J$1,0))="","no analizado",IF(INDEX(matriz_signo!$B$2:$J$26,MATCH($A22,matriz_valor!$A$2:$A$26,0),MATCH(L$1,matriz_valor!$B$1:$J$1,0))="&lt;",IF($D22&lt;&gt;"","no concluyente",IF(INDEX(matriz_valor!$B$2:$J$26,MATCH($A22,matriz_valor!$A$2:$A$26,0),MATCH(L$1,matriz_valor!$B$1:$J$1,0))*$G22&lt;=$E22,"cumple","no concluyente")),IF(AND(OR($D22="",INDEX(matriz_valor!$B$2:$J$26,MATCH($A22,matriz_valor!$A$2:$A$26,0),MATCH(L$1,matriz_valor!$B$1:$J$1,0))*$G22&gt;=$D22),INDEX(matriz_valor!$B$2:$J$26,MATCH($A22,matriz_valor!$A$2:$A$26,0),MATCH(L$1,matriz_valor!$B$1:$J$1,0))*$G22&lt;=$E22),"cumple","no cumple"))))</f>
        <v/>
      </c>
      <c r="M22">
        <f>IF(ISNA(MATCH($A22,matriz_valor!$A$2:$A$26,0)),"no analizado",IF(INDEX(matriz_valor!$B$2:$J$26,MATCH($A22,matriz_valor!$A$2:$A$26,0),MATCH(M$1,matriz_valor!$B$1:$J$1,0))="","no analizado",IF(INDEX(matriz_signo!$B$2:$J$26,MATCH($A22,matriz_valor!$A$2:$A$26,0),MATCH(M$1,matriz_valor!$B$1:$J$1,0))="&lt;",IF($D22&lt;&gt;"","no concluyente",IF(INDEX(matriz_valor!$B$2:$J$26,MATCH($A22,matriz_valor!$A$2:$A$26,0),MATCH(M$1,matriz_valor!$B$1:$J$1,0))*$G22&lt;=$E22,"cumple","no concluyente")),IF(AND(OR($D22="",INDEX(matriz_valor!$B$2:$J$26,MATCH($A22,matriz_valor!$A$2:$A$26,0),MATCH(M$1,matriz_valor!$B$1:$J$1,0))*$G22&gt;=$D22),INDEX(matriz_valor!$B$2:$J$26,MATCH($A22,matriz_valor!$A$2:$A$26,0),MATCH(M$1,matriz_valor!$B$1:$J$1,0))*$G22&lt;=$E22),"cumple","no cumple"))))</f>
        <v/>
      </c>
      <c r="N22">
        <f>IF(ISNA(MATCH($A22,matriz_valor!$A$2:$A$26,0)),"no analizado",IF(INDEX(matriz_valor!$B$2:$J$26,MATCH($A22,matriz_valor!$A$2:$A$26,0),MATCH(N$1,matriz_valor!$B$1:$J$1,0))="","no analizado",IF(INDEX(matriz_signo!$B$2:$J$26,MATCH($A22,matriz_valor!$A$2:$A$26,0),MATCH(N$1,matriz_valor!$B$1:$J$1,0))="&lt;",IF($D22&lt;&gt;"","no concluyente",IF(INDEX(matriz_valor!$B$2:$J$26,MATCH($A22,matriz_valor!$A$2:$A$26,0),MATCH(N$1,matriz_valor!$B$1:$J$1,0))*$G22&lt;=$E22,"cumple","no concluyente")),IF(AND(OR($D22="",INDEX(matriz_valor!$B$2:$J$26,MATCH($A22,matriz_valor!$A$2:$A$26,0),MATCH(N$1,matriz_valor!$B$1:$J$1,0))*$G22&gt;=$D22),INDEX(matriz_valor!$B$2:$J$26,MATCH($A22,matriz_valor!$A$2:$A$26,0),MATCH(N$1,matriz_valor!$B$1:$J$1,0))*$G22&lt;=$E22),"cumple","no cumple"))))</f>
        <v/>
      </c>
      <c r="O22">
        <f>IF(ISNA(MATCH($A22,matriz_valor!$A$2:$A$26,0)),"no analizado",IF(INDEX(matriz_valor!$B$2:$J$26,MATCH($A22,matriz_valor!$A$2:$A$26,0),MATCH(O$1,matriz_valor!$B$1:$J$1,0))="","no analizado",IF(INDEX(matriz_signo!$B$2:$J$26,MATCH($A22,matriz_valor!$A$2:$A$26,0),MATCH(O$1,matriz_valor!$B$1:$J$1,0))="&lt;",IF($D22&lt;&gt;"","no concluyente",IF(INDEX(matriz_valor!$B$2:$J$26,MATCH($A22,matriz_valor!$A$2:$A$26,0),MATCH(O$1,matriz_valor!$B$1:$J$1,0))*$G22&lt;=$E22,"cumple","no concluyente")),IF(AND(OR($D22="",INDEX(matriz_valor!$B$2:$J$26,MATCH($A22,matriz_valor!$A$2:$A$26,0),MATCH(O$1,matriz_valor!$B$1:$J$1,0))*$G22&gt;=$D22),INDEX(matriz_valor!$B$2:$J$26,MATCH($A22,matriz_valor!$A$2:$A$26,0),MATCH(O$1,matriz_valor!$B$1:$J$1,0))*$G22&lt;=$E22),"cumple","no cumple"))))</f>
        <v/>
      </c>
      <c r="P22">
        <f>IF(ISNA(MATCH($A22,matriz_valor!$A$2:$A$26,0)),"no analizado",IF(INDEX(matriz_valor!$B$2:$J$26,MATCH($A22,matriz_valor!$A$2:$A$26,0),MATCH(P$1,matriz_valor!$B$1:$J$1,0))="","no analizado",IF(INDEX(matriz_signo!$B$2:$J$26,MATCH($A22,matriz_valor!$A$2:$A$26,0),MATCH(P$1,matriz_valor!$B$1:$J$1,0))="&lt;",IF($D22&lt;&gt;"","no concluyente",IF(INDEX(matriz_valor!$B$2:$J$26,MATCH($A22,matriz_valor!$A$2:$A$26,0),MATCH(P$1,matriz_valor!$B$1:$J$1,0))*$G22&lt;=$E22,"cumple","no concluyente")),IF(AND(OR($D22="",INDEX(matriz_valor!$B$2:$J$26,MATCH($A22,matriz_valor!$A$2:$A$26,0),MATCH(P$1,matriz_valor!$B$1:$J$1,0))*$G22&gt;=$D22),INDEX(matriz_valor!$B$2:$J$26,MATCH($A22,matriz_valor!$A$2:$A$26,0),MATCH(P$1,matriz_valor!$B$1:$J$1,0))*$G22&lt;=$E22),"cumple","no cumple"))))</f>
        <v/>
      </c>
    </row>
    <row r="23">
      <c r="A23" t="inlineStr">
        <is>
          <t>e_coli</t>
        </is>
      </c>
      <c r="B23" t="inlineStr">
        <is>
          <t>Escherichia coli</t>
        </is>
      </c>
      <c r="C23" t="n">
        <v>25</v>
      </c>
      <c r="E23" t="n">
        <v>0</v>
      </c>
      <c r="F23" t="inlineStr">
        <is>
          <t>por 100 mL</t>
        </is>
      </c>
      <c r="G23" t="n">
        <v>1</v>
      </c>
      <c r="H23">
        <f>IF(ISNA(MATCH($A23,matriz_valor!$A$2:$A$26,0)),"no analizado",IF(INDEX(matriz_valor!$B$2:$J$26,MATCH($A23,matriz_valor!$A$2:$A$26,0),MATCH(H$1,matriz_valor!$B$1:$J$1,0))="","no analizado",IF(INDEX(matriz_signo!$B$2:$J$26,MATCH($A23,matriz_valor!$A$2:$A$26,0),MATCH(H$1,matriz_valor!$B$1:$J$1,0))="&lt;",IF($D23&lt;&gt;"","no concluyente",IF(INDEX(matriz_valor!$B$2:$J$26,MATCH($A23,matriz_valor!$A$2:$A$26,0),MATCH(H$1,matriz_valor!$B$1:$J$1,0))*$G23&lt;=$E23,"cumple","no concluyente")),IF(AND(OR($D23="",INDEX(matriz_valor!$B$2:$J$26,MATCH($A23,matriz_valor!$A$2:$A$26,0),MATCH(H$1,matriz_valor!$B$1:$J$1,0))*$G23&gt;=$D23),INDEX(matriz_valor!$B$2:$J$26,MATCH($A23,matriz_valor!$A$2:$A$26,0),MATCH(H$1,matriz_valor!$B$1:$J$1,0))*$G23&lt;=$E23),"cumple","no cumple"))))</f>
        <v/>
      </c>
      <c r="I23">
        <f>IF(ISNA(MATCH($A23,matriz_valor!$A$2:$A$26,0)),"no analizado",IF(INDEX(matriz_valor!$B$2:$J$26,MATCH($A23,matriz_valor!$A$2:$A$26,0),MATCH(I$1,matriz_valor!$B$1:$J$1,0))="","no analizado",IF(INDEX(matriz_signo!$B$2:$J$26,MATCH($A23,matriz_valor!$A$2:$A$26,0),MATCH(I$1,matriz_valor!$B$1:$J$1,0))="&lt;",IF($D23&lt;&gt;"","no concluyente",IF(INDEX(matriz_valor!$B$2:$J$26,MATCH($A23,matriz_valor!$A$2:$A$26,0),MATCH(I$1,matriz_valor!$B$1:$J$1,0))*$G23&lt;=$E23,"cumple","no concluyente")),IF(AND(OR($D23="",INDEX(matriz_valor!$B$2:$J$26,MATCH($A23,matriz_valor!$A$2:$A$26,0),MATCH(I$1,matriz_valor!$B$1:$J$1,0))*$G23&gt;=$D23),INDEX(matriz_valor!$B$2:$J$26,MATCH($A23,matriz_valor!$A$2:$A$26,0),MATCH(I$1,matriz_valor!$B$1:$J$1,0))*$G23&lt;=$E23),"cumple","no cumple"))))</f>
        <v/>
      </c>
      <c r="J23">
        <f>IF(ISNA(MATCH($A23,matriz_valor!$A$2:$A$26,0)),"no analizado",IF(INDEX(matriz_valor!$B$2:$J$26,MATCH($A23,matriz_valor!$A$2:$A$26,0),MATCH(J$1,matriz_valor!$B$1:$J$1,0))="","no analizado",IF(INDEX(matriz_signo!$B$2:$J$26,MATCH($A23,matriz_valor!$A$2:$A$26,0),MATCH(J$1,matriz_valor!$B$1:$J$1,0))="&lt;",IF($D23&lt;&gt;"","no concluyente",IF(INDEX(matriz_valor!$B$2:$J$26,MATCH($A23,matriz_valor!$A$2:$A$26,0),MATCH(J$1,matriz_valor!$B$1:$J$1,0))*$G23&lt;=$E23,"cumple","no concluyente")),IF(AND(OR($D23="",INDEX(matriz_valor!$B$2:$J$26,MATCH($A23,matriz_valor!$A$2:$A$26,0),MATCH(J$1,matriz_valor!$B$1:$J$1,0))*$G23&gt;=$D23),INDEX(matriz_valor!$B$2:$J$26,MATCH($A23,matriz_valor!$A$2:$A$26,0),MATCH(J$1,matriz_valor!$B$1:$J$1,0))*$G23&lt;=$E23),"cumple","no cumple"))))</f>
        <v/>
      </c>
      <c r="K23">
        <f>IF(ISNA(MATCH($A23,matriz_valor!$A$2:$A$26,0)),"no analizado",IF(INDEX(matriz_valor!$B$2:$J$26,MATCH($A23,matriz_valor!$A$2:$A$26,0),MATCH(K$1,matriz_valor!$B$1:$J$1,0))="","no analizado",IF(INDEX(matriz_signo!$B$2:$J$26,MATCH($A23,matriz_valor!$A$2:$A$26,0),MATCH(K$1,matriz_valor!$B$1:$J$1,0))="&lt;",IF($D23&lt;&gt;"","no concluyente",IF(INDEX(matriz_valor!$B$2:$J$26,MATCH($A23,matriz_valor!$A$2:$A$26,0),MATCH(K$1,matriz_valor!$B$1:$J$1,0))*$G23&lt;=$E23,"cumple","no concluyente")),IF(AND(OR($D23="",INDEX(matriz_valor!$B$2:$J$26,MATCH($A23,matriz_valor!$A$2:$A$26,0),MATCH(K$1,matriz_valor!$B$1:$J$1,0))*$G23&gt;=$D23),INDEX(matriz_valor!$B$2:$J$26,MATCH($A23,matriz_valor!$A$2:$A$26,0),MATCH(K$1,matriz_valor!$B$1:$J$1,0))*$G23&lt;=$E23),"cumple","no cumple"))))</f>
        <v/>
      </c>
      <c r="L23">
        <f>IF(ISNA(MATCH($A23,matriz_valor!$A$2:$A$26,0)),"no analizado",IF(INDEX(matriz_valor!$B$2:$J$26,MATCH($A23,matriz_valor!$A$2:$A$26,0),MATCH(L$1,matriz_valor!$B$1:$J$1,0))="","no analizado",IF(INDEX(matriz_signo!$B$2:$J$26,MATCH($A23,matriz_valor!$A$2:$A$26,0),MATCH(L$1,matriz_valor!$B$1:$J$1,0))="&lt;",IF($D23&lt;&gt;"","no concluyente",IF(INDEX(matriz_valor!$B$2:$J$26,MATCH($A23,matriz_valor!$A$2:$A$26,0),MATCH(L$1,matriz_valor!$B$1:$J$1,0))*$G23&lt;=$E23,"cumple","no concluyente")),IF(AND(OR($D23="",INDEX(matriz_valor!$B$2:$J$26,MATCH($A23,matriz_valor!$A$2:$A$26,0),MATCH(L$1,matriz_valor!$B$1:$J$1,0))*$G23&gt;=$D23),INDEX(matriz_valor!$B$2:$J$26,MATCH($A23,matriz_valor!$A$2:$A$26,0),MATCH(L$1,matriz_valor!$B$1:$J$1,0))*$G23&lt;=$E23),"cumple","no cumple"))))</f>
        <v/>
      </c>
      <c r="M23">
        <f>IF(ISNA(MATCH($A23,matriz_valor!$A$2:$A$26,0)),"no analizado",IF(INDEX(matriz_valor!$B$2:$J$26,MATCH($A23,matriz_valor!$A$2:$A$26,0),MATCH(M$1,matriz_valor!$B$1:$J$1,0))="","no analizado",IF(INDEX(matriz_signo!$B$2:$J$26,MATCH($A23,matriz_valor!$A$2:$A$26,0),MATCH(M$1,matriz_valor!$B$1:$J$1,0))="&lt;",IF($D23&lt;&gt;"","no concluyente",IF(INDEX(matriz_valor!$B$2:$J$26,MATCH($A23,matriz_valor!$A$2:$A$26,0),MATCH(M$1,matriz_valor!$B$1:$J$1,0))*$G23&lt;=$E23,"cumple","no concluyente")),IF(AND(OR($D23="",INDEX(matriz_valor!$B$2:$J$26,MATCH($A23,matriz_valor!$A$2:$A$26,0),MATCH(M$1,matriz_valor!$B$1:$J$1,0))*$G23&gt;=$D23),INDEX(matriz_valor!$B$2:$J$26,MATCH($A23,matriz_valor!$A$2:$A$26,0),MATCH(M$1,matriz_valor!$B$1:$J$1,0))*$G23&lt;=$E23),"cumple","no cumple"))))</f>
        <v/>
      </c>
      <c r="N23">
        <f>IF(ISNA(MATCH($A23,matriz_valor!$A$2:$A$26,0)),"no analizado",IF(INDEX(matriz_valor!$B$2:$J$26,MATCH($A23,matriz_valor!$A$2:$A$26,0),MATCH(N$1,matriz_valor!$B$1:$J$1,0))="","no analizado",IF(INDEX(matriz_signo!$B$2:$J$26,MATCH($A23,matriz_valor!$A$2:$A$26,0),MATCH(N$1,matriz_valor!$B$1:$J$1,0))="&lt;",IF($D23&lt;&gt;"","no concluyente",IF(INDEX(matriz_valor!$B$2:$J$26,MATCH($A23,matriz_valor!$A$2:$A$26,0),MATCH(N$1,matriz_valor!$B$1:$J$1,0))*$G23&lt;=$E23,"cumple","no concluyente")),IF(AND(OR($D23="",INDEX(matriz_valor!$B$2:$J$26,MATCH($A23,matriz_valor!$A$2:$A$26,0),MATCH(N$1,matriz_valor!$B$1:$J$1,0))*$G23&gt;=$D23),INDEX(matriz_valor!$B$2:$J$26,MATCH($A23,matriz_valor!$A$2:$A$26,0),MATCH(N$1,matriz_valor!$B$1:$J$1,0))*$G23&lt;=$E23),"cumple","no cumple"))))</f>
        <v/>
      </c>
      <c r="O23">
        <f>IF(ISNA(MATCH($A23,matriz_valor!$A$2:$A$26,0)),"no analizado",IF(INDEX(matriz_valor!$B$2:$J$26,MATCH($A23,matriz_valor!$A$2:$A$26,0),MATCH(O$1,matriz_valor!$B$1:$J$1,0))="","no analizado",IF(INDEX(matriz_signo!$B$2:$J$26,MATCH($A23,matriz_valor!$A$2:$A$26,0),MATCH(O$1,matriz_valor!$B$1:$J$1,0))="&lt;",IF($D23&lt;&gt;"","no concluyente",IF(INDEX(matriz_valor!$B$2:$J$26,MATCH($A23,matriz_valor!$A$2:$A$26,0),MATCH(O$1,matriz_valor!$B$1:$J$1,0))*$G23&lt;=$E23,"cumple","no concluyente")),IF(AND(OR($D23="",INDEX(matriz_valor!$B$2:$J$26,MATCH($A23,matriz_valor!$A$2:$A$26,0),MATCH(O$1,matriz_valor!$B$1:$J$1,0))*$G23&gt;=$D23),INDEX(matriz_valor!$B$2:$J$26,MATCH($A23,matriz_valor!$A$2:$A$26,0),MATCH(O$1,matriz_valor!$B$1:$J$1,0))*$G23&lt;=$E23),"cumple","no cumple"))))</f>
        <v/>
      </c>
      <c r="P23">
        <f>IF(ISNA(MATCH($A23,matriz_valor!$A$2:$A$26,0)),"no analizado",IF(INDEX(matriz_valor!$B$2:$J$26,MATCH($A23,matriz_valor!$A$2:$A$26,0),MATCH(P$1,matriz_valor!$B$1:$J$1,0))="","no analizado",IF(INDEX(matriz_signo!$B$2:$J$26,MATCH($A23,matriz_valor!$A$2:$A$26,0),MATCH(P$1,matriz_valor!$B$1:$J$1,0))="&lt;",IF($D23&lt;&gt;"","no concluyente",IF(INDEX(matriz_valor!$B$2:$J$26,MATCH($A23,matriz_valor!$A$2:$A$26,0),MATCH(P$1,matriz_valor!$B$1:$J$1,0))*$G23&lt;=$E23,"cumple","no concluyente")),IF(AND(OR($D23="",INDEX(matriz_valor!$B$2:$J$26,MATCH($A23,matriz_valor!$A$2:$A$26,0),MATCH(P$1,matriz_valor!$B$1:$J$1,0))*$G23&gt;=$D23),INDEX(matriz_valor!$B$2:$J$26,MATCH($A23,matriz_valor!$A$2:$A$26,0),MATCH(P$1,matriz_valor!$B$1:$J$1,0))*$G23&lt;=$E23),"cumple","no cumple"))))</f>
        <v/>
      </c>
    </row>
    <row r="25">
      <c r="B25" s="6" t="inlineStr">
        <is>
          <t>Σ puntajes de las características analizadas</t>
        </is>
      </c>
      <c r="H25">
        <f>SUMPRODUCT($C$2:$C$23*(H$2:H$23&lt;&gt;"no analizado"))</f>
        <v/>
      </c>
      <c r="I25">
        <f>SUMPRODUCT($C$2:$C$23*(I$2:I$23&lt;&gt;"no analizado"))</f>
        <v/>
      </c>
      <c r="J25">
        <f>SUMPRODUCT($C$2:$C$23*(J$2:J$23&lt;&gt;"no analizado"))</f>
        <v/>
      </c>
      <c r="K25">
        <f>SUMPRODUCT($C$2:$C$23*(K$2:K$23&lt;&gt;"no analizado"))</f>
        <v/>
      </c>
      <c r="L25">
        <f>SUMPRODUCT($C$2:$C$23*(L$2:L$23&lt;&gt;"no analizado"))</f>
        <v/>
      </c>
      <c r="M25">
        <f>SUMPRODUCT($C$2:$C$23*(M$2:M$23&lt;&gt;"no analizado"))</f>
        <v/>
      </c>
      <c r="N25">
        <f>SUMPRODUCT($C$2:$C$23*(N$2:N$23&lt;&gt;"no analizado"))</f>
        <v/>
      </c>
      <c r="O25">
        <f>SUMPRODUCT($C$2:$C$23*(O$2:O$23&lt;&gt;"no analizado"))</f>
        <v/>
      </c>
      <c r="P25">
        <f>SUMPRODUCT($C$2:$C$23*(P$2:P$23&lt;&gt;"no analizado"))</f>
        <v/>
      </c>
    </row>
    <row r="26">
      <c r="B26" s="6" t="inlineStr">
        <is>
          <t>Σ puntajes no aceptables (no cumple)</t>
        </is>
      </c>
      <c r="H26">
        <f>SUMIF(H$2:H$23,"no cumple",$C$2:$C$23)</f>
        <v/>
      </c>
      <c r="I26">
        <f>SUMIF(I$2:I$23,"no cumple",$C$2:$C$23)</f>
        <v/>
      </c>
      <c r="J26">
        <f>SUMIF(J$2:J$23,"no cumple",$C$2:$C$23)</f>
        <v/>
      </c>
      <c r="K26">
        <f>SUMIF(K$2:K$23,"no cumple",$C$2:$C$23)</f>
        <v/>
      </c>
      <c r="L26">
        <f>SUMIF(L$2:L$23,"no cumple",$C$2:$C$23)</f>
        <v/>
      </c>
      <c r="M26">
        <f>SUMIF(M$2:M$23,"no cumple",$C$2:$C$23)</f>
        <v/>
      </c>
      <c r="N26">
        <f>SUMIF(N$2:N$23,"no cumple",$C$2:$C$23)</f>
        <v/>
      </c>
      <c r="O26">
        <f>SUMIF(O$2:O$23,"no cumple",$C$2:$C$23)</f>
        <v/>
      </c>
      <c r="P26">
        <f>SUMIF(P$2:P$23,"no cumple",$C$2:$C$23)</f>
        <v/>
      </c>
    </row>
    <row r="27">
      <c r="B27" s="6" t="inlineStr">
        <is>
          <t>Σ puntajes no concluyentes (LD &gt; valor aceptable)</t>
        </is>
      </c>
      <c r="H27">
        <f>SUMIF(H$2:H$23,"no concluyente",$C$2:$C$23)</f>
        <v/>
      </c>
      <c r="I27">
        <f>SUMIF(I$2:I$23,"no concluyente",$C$2:$C$23)</f>
        <v/>
      </c>
      <c r="J27">
        <f>SUMIF(J$2:J$23,"no concluyente",$C$2:$C$23)</f>
        <v/>
      </c>
      <c r="K27">
        <f>SUMIF(K$2:K$23,"no concluyente",$C$2:$C$23)</f>
        <v/>
      </c>
      <c r="L27">
        <f>SUMIF(L$2:L$23,"no concluyente",$C$2:$C$23)</f>
        <v/>
      </c>
      <c r="M27">
        <f>SUMIF(M$2:M$23,"no concluyente",$C$2:$C$23)</f>
        <v/>
      </c>
      <c r="N27">
        <f>SUMIF(N$2:N$23,"no concluyente",$C$2:$C$23)</f>
        <v/>
      </c>
      <c r="O27">
        <f>SUMIF(O$2:O$23,"no concluyente",$C$2:$C$23)</f>
        <v/>
      </c>
      <c r="P27">
        <f>SUMIF(P$2:P$23,"no concluyente",$C$2:$C$23)</f>
        <v/>
      </c>
    </row>
    <row r="28">
      <c r="B28" s="6" t="inlineStr">
        <is>
          <t>IRCA (%) = Σ no cumple / Σ analizadas × 100</t>
        </is>
      </c>
      <c r="H28">
        <f>ROUND(100*H26/H25,1)</f>
        <v/>
      </c>
      <c r="I28">
        <f>ROUND(100*I26/I25,1)</f>
        <v/>
      </c>
      <c r="J28">
        <f>ROUND(100*J26/J25,1)</f>
        <v/>
      </c>
      <c r="K28">
        <f>ROUND(100*K26/K25,1)</f>
        <v/>
      </c>
      <c r="L28">
        <f>ROUND(100*L26/L25,1)</f>
        <v/>
      </c>
      <c r="M28">
        <f>ROUND(100*M26/M25,1)</f>
        <v/>
      </c>
      <c r="N28">
        <f>ROUND(100*N26/N25,1)</f>
        <v/>
      </c>
      <c r="O28">
        <f>ROUND(100*O26/O25,1)</f>
        <v/>
      </c>
      <c r="P28">
        <f>ROUND(100*P26/P25,1)</f>
        <v/>
      </c>
    </row>
    <row r="29">
      <c r="B29" s="6" t="inlineStr">
        <is>
          <t>Nivel de riesgo (Cuadro 7)</t>
        </is>
      </c>
      <c r="H29">
        <f>IF(H28&lt;=5,"Sin riesgo",IF(H28&lt;=14,"Bajo",IF(H28&lt;=35,"Medio",IF(H28&lt;=80,"Alto","Inviable sanitariamente"))))</f>
        <v/>
      </c>
      <c r="I29">
        <f>IF(I28&lt;=5,"Sin riesgo",IF(I28&lt;=14,"Bajo",IF(I28&lt;=35,"Medio",IF(I28&lt;=80,"Alto","Inviable sanitariamente"))))</f>
        <v/>
      </c>
      <c r="J29">
        <f>IF(J28&lt;=5,"Sin riesgo",IF(J28&lt;=14,"Bajo",IF(J28&lt;=35,"Medio",IF(J28&lt;=80,"Alto","Inviable sanitariamente"))))</f>
        <v/>
      </c>
      <c r="K29">
        <f>IF(K28&lt;=5,"Sin riesgo",IF(K28&lt;=14,"Bajo",IF(K28&lt;=35,"Medio",IF(K28&lt;=80,"Alto","Inviable sanitariamente"))))</f>
        <v/>
      </c>
      <c r="L29">
        <f>IF(L28&lt;=5,"Sin riesgo",IF(L28&lt;=14,"Bajo",IF(L28&lt;=35,"Medio",IF(L28&lt;=80,"Alto","Inviable sanitariamente"))))</f>
        <v/>
      </c>
      <c r="M29">
        <f>IF(M28&lt;=5,"Sin riesgo",IF(M28&lt;=14,"Bajo",IF(M28&lt;=35,"Medio",IF(M28&lt;=80,"Alto","Inviable sanitariamente"))))</f>
        <v/>
      </c>
      <c r="N29">
        <f>IF(N28&lt;=5,"Sin riesgo",IF(N28&lt;=14,"Bajo",IF(N28&lt;=35,"Medio",IF(N28&lt;=80,"Alto","Inviable sanitariamente"))))</f>
        <v/>
      </c>
      <c r="O29">
        <f>IF(O28&lt;=5,"Sin riesgo",IF(O28&lt;=14,"Bajo",IF(O28&lt;=35,"Medio",IF(O28&lt;=80,"Alto","Inviable sanitariamente"))))</f>
        <v/>
      </c>
      <c r="P29">
        <f>IF(P28&lt;=5,"Sin riesgo",IF(P28&lt;=14,"Bajo",IF(P28&lt;=35,"Medio",IF(P28&lt;=80,"Alto","Inviable sanitariamente"))))</f>
        <v/>
      </c>
    </row>
    <row r="30">
      <c r="B30" s="6" t="inlineStr">
        <is>
          <t>IRCA máximo (%) si los no concluyentes no cumplieran</t>
        </is>
      </c>
      <c r="H30">
        <f>ROUND(100*(H26+H27)/H25,1)</f>
        <v/>
      </c>
      <c r="I30">
        <f>ROUND(100*(I26+I27)/I25,1)</f>
        <v/>
      </c>
      <c r="J30">
        <f>ROUND(100*(J26+J27)/J25,1)</f>
        <v/>
      </c>
      <c r="K30">
        <f>ROUND(100*(K26+K27)/K25,1)</f>
        <v/>
      </c>
      <c r="L30">
        <f>ROUND(100*(L26+L27)/L25,1)</f>
        <v/>
      </c>
      <c r="M30">
        <f>ROUND(100*(M26+M27)/M25,1)</f>
        <v/>
      </c>
      <c r="N30">
        <f>ROUND(100*(N26+N27)/N25,1)</f>
        <v/>
      </c>
      <c r="O30">
        <f>ROUND(100*(O26+O27)/O25,1)</f>
        <v/>
      </c>
      <c r="P30">
        <f>ROUND(100*(P26+P27)/P25,1)</f>
        <v/>
      </c>
    </row>
    <row r="31">
      <c r="B31" s="6" t="inlineStr">
        <is>
          <t>Nivel con IRCA máximo</t>
        </is>
      </c>
      <c r="H31">
        <f>IF(H30&lt;=5,"Sin riesgo",IF(H30&lt;=14,"Bajo",IF(H30&lt;=35,"Medio",IF(H30&lt;=80,"Alto","Inviable sanitariamente"))))</f>
        <v/>
      </c>
      <c r="I31">
        <f>IF(I30&lt;=5,"Sin riesgo",IF(I30&lt;=14,"Bajo",IF(I30&lt;=35,"Medio",IF(I30&lt;=80,"Alto","Inviable sanitariamente"))))</f>
        <v/>
      </c>
      <c r="J31">
        <f>IF(J30&lt;=5,"Sin riesgo",IF(J30&lt;=14,"Bajo",IF(J30&lt;=35,"Medio",IF(J30&lt;=80,"Alto","Inviable sanitariamente"))))</f>
        <v/>
      </c>
      <c r="K31">
        <f>IF(K30&lt;=5,"Sin riesgo",IF(K30&lt;=14,"Bajo",IF(K30&lt;=35,"Medio",IF(K30&lt;=80,"Alto","Inviable sanitariamente"))))</f>
        <v/>
      </c>
      <c r="L31">
        <f>IF(L30&lt;=5,"Sin riesgo",IF(L30&lt;=14,"Bajo",IF(L30&lt;=35,"Medio",IF(L30&lt;=80,"Alto","Inviable sanitariamente"))))</f>
        <v/>
      </c>
      <c r="M31">
        <f>IF(M30&lt;=5,"Sin riesgo",IF(M30&lt;=14,"Bajo",IF(M30&lt;=35,"Medio",IF(M30&lt;=80,"Alto","Inviable sanitariamente"))))</f>
        <v/>
      </c>
      <c r="N31">
        <f>IF(N30&lt;=5,"Sin riesgo",IF(N30&lt;=14,"Bajo",IF(N30&lt;=35,"Medio",IF(N30&lt;=80,"Alto","Inviable sanitariamente"))))</f>
        <v/>
      </c>
      <c r="O31">
        <f>IF(O30&lt;=5,"Sin riesgo",IF(O30&lt;=14,"Bajo",IF(O30&lt;=35,"Medio",IF(O30&lt;=80,"Alto","Inviable sanitariamente"))))</f>
        <v/>
      </c>
      <c r="P31">
        <f>IF(P30&lt;=5,"Sin riesgo",IF(P30&lt;=14,"Bajo",IF(P30&lt;=35,"Medio",IF(P30&lt;=80,"Alto","Inviable sanitariamente"))))</f>
        <v/>
      </c>
    </row>
    <row r="33">
      <c r="B33" s="7" t="inlineStr">
        <is>
          <t>Regla para "&lt;LD": si LD × factor ≤ máximo → cumple; si no → no concluyente. Res. 2115/2007, arts. 13–15. Aplicado a agua cruda como tamizaje.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4" t="inlineStr">
        <is>
          <t>variable</t>
        </is>
      </c>
      <c r="B1" s="4" t="inlineStr">
        <is>
          <t>fórmula / nota</t>
        </is>
      </c>
      <c r="C1" s="4" t="inlineStr">
        <is>
          <t>39741</t>
        </is>
      </c>
      <c r="D1" s="4" t="inlineStr">
        <is>
          <t>39742</t>
        </is>
      </c>
      <c r="E1" s="4" t="inlineStr">
        <is>
          <t>39743</t>
        </is>
      </c>
      <c r="F1" s="4" t="inlineStr">
        <is>
          <t>39915</t>
        </is>
      </c>
      <c r="G1" s="4" t="inlineStr">
        <is>
          <t>39916</t>
        </is>
      </c>
      <c r="H1" s="4" t="inlineStr">
        <is>
          <t>39917</t>
        </is>
      </c>
      <c r="I1" s="4" t="inlineStr">
        <is>
          <t>40015</t>
        </is>
      </c>
      <c r="J1" s="4" t="inlineStr">
        <is>
          <t>40016</t>
        </is>
      </c>
      <c r="K1" s="4" t="inlineStr">
        <is>
          <t>40017</t>
        </is>
      </c>
    </row>
    <row r="2">
      <c r="A2" t="inlineStr">
        <is>
          <t>informe →</t>
        </is>
      </c>
      <c r="C2" t="inlineStr">
        <is>
          <t>POZO_UN</t>
        </is>
      </c>
      <c r="D2" t="inlineStr">
        <is>
          <t>RIO_AMAZONAS</t>
        </is>
      </c>
      <c r="E2" t="inlineStr">
        <is>
          <t>POZO_NUMAE</t>
        </is>
      </c>
      <c r="F2" t="inlineStr">
        <is>
          <t>POZO_UN</t>
        </is>
      </c>
      <c r="G2" t="inlineStr">
        <is>
          <t>POZO_PROFE</t>
        </is>
      </c>
      <c r="H2" t="inlineStr">
        <is>
          <t>POZO_NUMAE</t>
        </is>
      </c>
      <c r="I2" t="inlineStr">
        <is>
          <t>POZO_UN</t>
        </is>
      </c>
      <c r="J2" t="inlineStr">
        <is>
          <t>POZO_PROFE</t>
        </is>
      </c>
      <c r="K2" t="inlineStr">
        <is>
          <t>POZO_NUMAE</t>
        </is>
      </c>
    </row>
    <row r="3">
      <c r="A3" t="inlineStr">
        <is>
          <t>pH</t>
        </is>
      </c>
      <c r="B3" s="7" t="inlineStr">
        <is>
          <t>valor del informe</t>
        </is>
      </c>
      <c r="C3" s="8">
        <f>IF(INDEX(matriz_signo!$B$2:$J$26,MATCH("ph",matriz_valor!$A$2:$A$26,0),MATCH(C$1,matriz_valor!$B$1:$J$1,0))="&lt;",INDEX(matriz_valor!$B$2:$J$26,MATCH("ph",matriz_valor!$A$2:$A$26,0),MATCH(C$1,matriz_valor!$B$1:$J$1,0))/2,INDEX(matriz_valor!$B$2:$J$26,MATCH("ph",matriz_valor!$A$2:$A$26,0),MATCH(C$1,matriz_valor!$B$1:$J$1,0)))</f>
        <v/>
      </c>
      <c r="D3" s="8">
        <f>IF(INDEX(matriz_signo!$B$2:$J$26,MATCH("ph",matriz_valor!$A$2:$A$26,0),MATCH(D$1,matriz_valor!$B$1:$J$1,0))="&lt;",INDEX(matriz_valor!$B$2:$J$26,MATCH("ph",matriz_valor!$A$2:$A$26,0),MATCH(D$1,matriz_valor!$B$1:$J$1,0))/2,INDEX(matriz_valor!$B$2:$J$26,MATCH("ph",matriz_valor!$A$2:$A$26,0),MATCH(D$1,matriz_valor!$B$1:$J$1,0)))</f>
        <v/>
      </c>
      <c r="E3" s="8">
        <f>IF(INDEX(matriz_signo!$B$2:$J$26,MATCH("ph",matriz_valor!$A$2:$A$26,0),MATCH(E$1,matriz_valor!$B$1:$J$1,0))="&lt;",INDEX(matriz_valor!$B$2:$J$26,MATCH("ph",matriz_valor!$A$2:$A$26,0),MATCH(E$1,matriz_valor!$B$1:$J$1,0))/2,INDEX(matriz_valor!$B$2:$J$26,MATCH("ph",matriz_valor!$A$2:$A$26,0),MATCH(E$1,matriz_valor!$B$1:$J$1,0)))</f>
        <v/>
      </c>
      <c r="F3" s="8">
        <f>IF(INDEX(matriz_signo!$B$2:$J$26,MATCH("ph",matriz_valor!$A$2:$A$26,0),MATCH(F$1,matriz_valor!$B$1:$J$1,0))="&lt;",INDEX(matriz_valor!$B$2:$J$26,MATCH("ph",matriz_valor!$A$2:$A$26,0),MATCH(F$1,matriz_valor!$B$1:$J$1,0))/2,INDEX(matriz_valor!$B$2:$J$26,MATCH("ph",matriz_valor!$A$2:$A$26,0),MATCH(F$1,matriz_valor!$B$1:$J$1,0)))</f>
        <v/>
      </c>
      <c r="G3" s="8">
        <f>IF(INDEX(matriz_signo!$B$2:$J$26,MATCH("ph",matriz_valor!$A$2:$A$26,0),MATCH(G$1,matriz_valor!$B$1:$J$1,0))="&lt;",INDEX(matriz_valor!$B$2:$J$26,MATCH("ph",matriz_valor!$A$2:$A$26,0),MATCH(G$1,matriz_valor!$B$1:$J$1,0))/2,INDEX(matriz_valor!$B$2:$J$26,MATCH("ph",matriz_valor!$A$2:$A$26,0),MATCH(G$1,matriz_valor!$B$1:$J$1,0)))</f>
        <v/>
      </c>
      <c r="H3" s="8">
        <f>IF(INDEX(matriz_signo!$B$2:$J$26,MATCH("ph",matriz_valor!$A$2:$A$26,0),MATCH(H$1,matriz_valor!$B$1:$J$1,0))="&lt;",INDEX(matriz_valor!$B$2:$J$26,MATCH("ph",matriz_valor!$A$2:$A$26,0),MATCH(H$1,matriz_valor!$B$1:$J$1,0))/2,INDEX(matriz_valor!$B$2:$J$26,MATCH("ph",matriz_valor!$A$2:$A$26,0),MATCH(H$1,matriz_valor!$B$1:$J$1,0)))</f>
        <v/>
      </c>
      <c r="I3" s="8">
        <f>IF(INDEX(matriz_signo!$B$2:$J$26,MATCH("ph",matriz_valor!$A$2:$A$26,0),MATCH(I$1,matriz_valor!$B$1:$J$1,0))="&lt;",INDEX(matriz_valor!$B$2:$J$26,MATCH("ph",matriz_valor!$A$2:$A$26,0),MATCH(I$1,matriz_valor!$B$1:$J$1,0))/2,INDEX(matriz_valor!$B$2:$J$26,MATCH("ph",matriz_valor!$A$2:$A$26,0),MATCH(I$1,matriz_valor!$B$1:$J$1,0)))</f>
        <v/>
      </c>
      <c r="J3" s="8">
        <f>IF(INDEX(matriz_signo!$B$2:$J$26,MATCH("ph",matriz_valor!$A$2:$A$26,0),MATCH(J$1,matriz_valor!$B$1:$J$1,0))="&lt;",INDEX(matriz_valor!$B$2:$J$26,MATCH("ph",matriz_valor!$A$2:$A$26,0),MATCH(J$1,matriz_valor!$B$1:$J$1,0))/2,INDEX(matriz_valor!$B$2:$J$26,MATCH("ph",matriz_valor!$A$2:$A$26,0),MATCH(J$1,matriz_valor!$B$1:$J$1,0)))</f>
        <v/>
      </c>
      <c r="K3" s="8">
        <f>IF(INDEX(matriz_signo!$B$2:$J$26,MATCH("ph",matriz_valor!$A$2:$A$26,0),MATCH(K$1,matriz_valor!$B$1:$J$1,0))="&lt;",INDEX(matriz_valor!$B$2:$J$26,MATCH("ph",matriz_valor!$A$2:$A$26,0),MATCH(K$1,matriz_valor!$B$1:$J$1,0))/2,INDEX(matriz_valor!$B$2:$J$26,MATCH("ph",matriz_valor!$A$2:$A$26,0),MATCH(K$1,matriz_valor!$B$1:$J$1,0)))</f>
        <v/>
      </c>
    </row>
    <row r="4">
      <c r="A4" t="inlineStr">
        <is>
          <t>Alcalinidad (mg/L CaCO3)</t>
        </is>
      </c>
      <c r="B4" s="7" t="inlineStr">
        <is>
          <t>"&lt;LD" → LD/2</t>
        </is>
      </c>
      <c r="C4" s="8">
        <f>IF(INDEX(matriz_signo!$B$2:$J$26,MATCH("alcalinidad",matriz_valor!$A$2:$A$26,0),MATCH(C$1,matriz_valor!$B$1:$J$1,0))="&lt;",INDEX(matriz_valor!$B$2:$J$26,MATCH("alcalinidad",matriz_valor!$A$2:$A$26,0),MATCH(C$1,matriz_valor!$B$1:$J$1,0))/2,INDEX(matriz_valor!$B$2:$J$26,MATCH("alcalinidad",matriz_valor!$A$2:$A$26,0),MATCH(C$1,matriz_valor!$B$1:$J$1,0)))</f>
        <v/>
      </c>
      <c r="D4" s="8">
        <f>IF(INDEX(matriz_signo!$B$2:$J$26,MATCH("alcalinidad",matriz_valor!$A$2:$A$26,0),MATCH(D$1,matriz_valor!$B$1:$J$1,0))="&lt;",INDEX(matriz_valor!$B$2:$J$26,MATCH("alcalinidad",matriz_valor!$A$2:$A$26,0),MATCH(D$1,matriz_valor!$B$1:$J$1,0))/2,INDEX(matriz_valor!$B$2:$J$26,MATCH("alcalinidad",matriz_valor!$A$2:$A$26,0),MATCH(D$1,matriz_valor!$B$1:$J$1,0)))</f>
        <v/>
      </c>
      <c r="E4" s="8">
        <f>IF(INDEX(matriz_signo!$B$2:$J$26,MATCH("alcalinidad",matriz_valor!$A$2:$A$26,0),MATCH(E$1,matriz_valor!$B$1:$J$1,0))="&lt;",INDEX(matriz_valor!$B$2:$J$26,MATCH("alcalinidad",matriz_valor!$A$2:$A$26,0),MATCH(E$1,matriz_valor!$B$1:$J$1,0))/2,INDEX(matriz_valor!$B$2:$J$26,MATCH("alcalinidad",matriz_valor!$A$2:$A$26,0),MATCH(E$1,matriz_valor!$B$1:$J$1,0)))</f>
        <v/>
      </c>
      <c r="F4" s="8">
        <f>IF(INDEX(matriz_signo!$B$2:$J$26,MATCH("alcalinidad",matriz_valor!$A$2:$A$26,0),MATCH(F$1,matriz_valor!$B$1:$J$1,0))="&lt;",INDEX(matriz_valor!$B$2:$J$26,MATCH("alcalinidad",matriz_valor!$A$2:$A$26,0),MATCH(F$1,matriz_valor!$B$1:$J$1,0))/2,INDEX(matriz_valor!$B$2:$J$26,MATCH("alcalinidad",matriz_valor!$A$2:$A$26,0),MATCH(F$1,matriz_valor!$B$1:$J$1,0)))</f>
        <v/>
      </c>
      <c r="G4" s="8">
        <f>IF(INDEX(matriz_signo!$B$2:$J$26,MATCH("alcalinidad",matriz_valor!$A$2:$A$26,0),MATCH(G$1,matriz_valor!$B$1:$J$1,0))="&lt;",INDEX(matriz_valor!$B$2:$J$26,MATCH("alcalinidad",matriz_valor!$A$2:$A$26,0),MATCH(G$1,matriz_valor!$B$1:$J$1,0))/2,INDEX(matriz_valor!$B$2:$J$26,MATCH("alcalinidad",matriz_valor!$A$2:$A$26,0),MATCH(G$1,matriz_valor!$B$1:$J$1,0)))</f>
        <v/>
      </c>
      <c r="H4" s="8">
        <f>IF(INDEX(matriz_signo!$B$2:$J$26,MATCH("alcalinidad",matriz_valor!$A$2:$A$26,0),MATCH(H$1,matriz_valor!$B$1:$J$1,0))="&lt;",INDEX(matriz_valor!$B$2:$J$26,MATCH("alcalinidad",matriz_valor!$A$2:$A$26,0),MATCH(H$1,matriz_valor!$B$1:$J$1,0))/2,INDEX(matriz_valor!$B$2:$J$26,MATCH("alcalinidad",matriz_valor!$A$2:$A$26,0),MATCH(H$1,matriz_valor!$B$1:$J$1,0)))</f>
        <v/>
      </c>
      <c r="I4" s="8">
        <f>IF(INDEX(matriz_signo!$B$2:$J$26,MATCH("alcalinidad",matriz_valor!$A$2:$A$26,0),MATCH(I$1,matriz_valor!$B$1:$J$1,0))="&lt;",INDEX(matriz_valor!$B$2:$J$26,MATCH("alcalinidad",matriz_valor!$A$2:$A$26,0),MATCH(I$1,matriz_valor!$B$1:$J$1,0))/2,INDEX(matriz_valor!$B$2:$J$26,MATCH("alcalinidad",matriz_valor!$A$2:$A$26,0),MATCH(I$1,matriz_valor!$B$1:$J$1,0)))</f>
        <v/>
      </c>
      <c r="J4" s="8">
        <f>IF(INDEX(matriz_signo!$B$2:$J$26,MATCH("alcalinidad",matriz_valor!$A$2:$A$26,0),MATCH(J$1,matriz_valor!$B$1:$J$1,0))="&lt;",INDEX(matriz_valor!$B$2:$J$26,MATCH("alcalinidad",matriz_valor!$A$2:$A$26,0),MATCH(J$1,matriz_valor!$B$1:$J$1,0))/2,INDEX(matriz_valor!$B$2:$J$26,MATCH("alcalinidad",matriz_valor!$A$2:$A$26,0),MATCH(J$1,matriz_valor!$B$1:$J$1,0)))</f>
        <v/>
      </c>
      <c r="K4" s="8">
        <f>IF(INDEX(matriz_signo!$B$2:$J$26,MATCH("alcalinidad",matriz_valor!$A$2:$A$26,0),MATCH(K$1,matriz_valor!$B$1:$J$1,0))="&lt;",INDEX(matriz_valor!$B$2:$J$26,MATCH("alcalinidad",matriz_valor!$A$2:$A$26,0),MATCH(K$1,matriz_valor!$B$1:$J$1,0))/2,INDEX(matriz_valor!$B$2:$J$26,MATCH("alcalinidad",matriz_valor!$A$2:$A$26,0),MATCH(K$1,matriz_valor!$B$1:$J$1,0)))</f>
        <v/>
      </c>
    </row>
    <row r="5">
      <c r="A5" t="inlineStr">
        <is>
          <t>Dureza cálcica (mg/L CaCO3)</t>
        </is>
      </c>
      <c r="B5" s="7" t="inlineStr">
        <is>
          <t>"&lt;LD" → LD/2</t>
        </is>
      </c>
      <c r="C5" s="8">
        <f>IF(INDEX(matriz_signo!$B$2:$J$26,MATCH("dureza_calcica",matriz_valor!$A$2:$A$26,0),MATCH(C$1,matriz_valor!$B$1:$J$1,0))="&lt;",INDEX(matriz_valor!$B$2:$J$26,MATCH("dureza_calcica",matriz_valor!$A$2:$A$26,0),MATCH(C$1,matriz_valor!$B$1:$J$1,0))/2,INDEX(matriz_valor!$B$2:$J$26,MATCH("dureza_calcica",matriz_valor!$A$2:$A$26,0),MATCH(C$1,matriz_valor!$B$1:$J$1,0)))</f>
        <v/>
      </c>
      <c r="D5" s="8">
        <f>IF(INDEX(matriz_signo!$B$2:$J$26,MATCH("dureza_calcica",matriz_valor!$A$2:$A$26,0),MATCH(D$1,matriz_valor!$B$1:$J$1,0))="&lt;",INDEX(matriz_valor!$B$2:$J$26,MATCH("dureza_calcica",matriz_valor!$A$2:$A$26,0),MATCH(D$1,matriz_valor!$B$1:$J$1,0))/2,INDEX(matriz_valor!$B$2:$J$26,MATCH("dureza_calcica",matriz_valor!$A$2:$A$26,0),MATCH(D$1,matriz_valor!$B$1:$J$1,0)))</f>
        <v/>
      </c>
      <c r="E5" s="8">
        <f>IF(INDEX(matriz_signo!$B$2:$J$26,MATCH("dureza_calcica",matriz_valor!$A$2:$A$26,0),MATCH(E$1,matriz_valor!$B$1:$J$1,0))="&lt;",INDEX(matriz_valor!$B$2:$J$26,MATCH("dureza_calcica",matriz_valor!$A$2:$A$26,0),MATCH(E$1,matriz_valor!$B$1:$J$1,0))/2,INDEX(matriz_valor!$B$2:$J$26,MATCH("dureza_calcica",matriz_valor!$A$2:$A$26,0),MATCH(E$1,matriz_valor!$B$1:$J$1,0)))</f>
        <v/>
      </c>
      <c r="F5" s="8">
        <f>IF(INDEX(matriz_signo!$B$2:$J$26,MATCH("dureza_calcica",matriz_valor!$A$2:$A$26,0),MATCH(F$1,matriz_valor!$B$1:$J$1,0))="&lt;",INDEX(matriz_valor!$B$2:$J$26,MATCH("dureza_calcica",matriz_valor!$A$2:$A$26,0),MATCH(F$1,matriz_valor!$B$1:$J$1,0))/2,INDEX(matriz_valor!$B$2:$J$26,MATCH("dureza_calcica",matriz_valor!$A$2:$A$26,0),MATCH(F$1,matriz_valor!$B$1:$J$1,0)))</f>
        <v/>
      </c>
      <c r="G5" s="8">
        <f>IF(INDEX(matriz_signo!$B$2:$J$26,MATCH("dureza_calcica",matriz_valor!$A$2:$A$26,0),MATCH(G$1,matriz_valor!$B$1:$J$1,0))="&lt;",INDEX(matriz_valor!$B$2:$J$26,MATCH("dureza_calcica",matriz_valor!$A$2:$A$26,0),MATCH(G$1,matriz_valor!$B$1:$J$1,0))/2,INDEX(matriz_valor!$B$2:$J$26,MATCH("dureza_calcica",matriz_valor!$A$2:$A$26,0),MATCH(G$1,matriz_valor!$B$1:$J$1,0)))</f>
        <v/>
      </c>
      <c r="H5" s="8">
        <f>IF(INDEX(matriz_signo!$B$2:$J$26,MATCH("dureza_calcica",matriz_valor!$A$2:$A$26,0),MATCH(H$1,matriz_valor!$B$1:$J$1,0))="&lt;",INDEX(matriz_valor!$B$2:$J$26,MATCH("dureza_calcica",matriz_valor!$A$2:$A$26,0),MATCH(H$1,matriz_valor!$B$1:$J$1,0))/2,INDEX(matriz_valor!$B$2:$J$26,MATCH("dureza_calcica",matriz_valor!$A$2:$A$26,0),MATCH(H$1,matriz_valor!$B$1:$J$1,0)))</f>
        <v/>
      </c>
      <c r="I5" s="8">
        <f>IF(INDEX(matriz_signo!$B$2:$J$26,MATCH("dureza_calcica",matriz_valor!$A$2:$A$26,0),MATCH(I$1,matriz_valor!$B$1:$J$1,0))="&lt;",INDEX(matriz_valor!$B$2:$J$26,MATCH("dureza_calcica",matriz_valor!$A$2:$A$26,0),MATCH(I$1,matriz_valor!$B$1:$J$1,0))/2,INDEX(matriz_valor!$B$2:$J$26,MATCH("dureza_calcica",matriz_valor!$A$2:$A$26,0),MATCH(I$1,matriz_valor!$B$1:$J$1,0)))</f>
        <v/>
      </c>
      <c r="J5" s="8">
        <f>IF(INDEX(matriz_signo!$B$2:$J$26,MATCH("dureza_calcica",matriz_valor!$A$2:$A$26,0),MATCH(J$1,matriz_valor!$B$1:$J$1,0))="&lt;",INDEX(matriz_valor!$B$2:$J$26,MATCH("dureza_calcica",matriz_valor!$A$2:$A$26,0),MATCH(J$1,matriz_valor!$B$1:$J$1,0))/2,INDEX(matriz_valor!$B$2:$J$26,MATCH("dureza_calcica",matriz_valor!$A$2:$A$26,0),MATCH(J$1,matriz_valor!$B$1:$J$1,0)))</f>
        <v/>
      </c>
      <c r="K5" s="8">
        <f>IF(INDEX(matriz_signo!$B$2:$J$26,MATCH("dureza_calcica",matriz_valor!$A$2:$A$26,0),MATCH(K$1,matriz_valor!$B$1:$J$1,0))="&lt;",INDEX(matriz_valor!$B$2:$J$26,MATCH("dureza_calcica",matriz_valor!$A$2:$A$26,0),MATCH(K$1,matriz_valor!$B$1:$J$1,0))/2,INDEX(matriz_valor!$B$2:$J$26,MATCH("dureza_calcica",matriz_valor!$A$2:$A$26,0),MATCH(K$1,matriz_valor!$B$1:$J$1,0)))</f>
        <v/>
      </c>
    </row>
    <row r="6">
      <c r="A6" t="inlineStr">
        <is>
          <t>Dureza magnésica (mg/L CaCO3)</t>
        </is>
      </c>
      <c r="B6" s="7" t="inlineStr"/>
      <c r="C6" s="8">
        <f>IF(INDEX(matriz_signo!$B$2:$J$26,MATCH("dureza_magnesica",matriz_valor!$A$2:$A$26,0),MATCH(C$1,matriz_valor!$B$1:$J$1,0))="&lt;",INDEX(matriz_valor!$B$2:$J$26,MATCH("dureza_magnesica",matriz_valor!$A$2:$A$26,0),MATCH(C$1,matriz_valor!$B$1:$J$1,0))/2,INDEX(matriz_valor!$B$2:$J$26,MATCH("dureza_magnesica",matriz_valor!$A$2:$A$26,0),MATCH(C$1,matriz_valor!$B$1:$J$1,0)))</f>
        <v/>
      </c>
      <c r="D6" s="8">
        <f>IF(INDEX(matriz_signo!$B$2:$J$26,MATCH("dureza_magnesica",matriz_valor!$A$2:$A$26,0),MATCH(D$1,matriz_valor!$B$1:$J$1,0))="&lt;",INDEX(matriz_valor!$B$2:$J$26,MATCH("dureza_magnesica",matriz_valor!$A$2:$A$26,0),MATCH(D$1,matriz_valor!$B$1:$J$1,0))/2,INDEX(matriz_valor!$B$2:$J$26,MATCH("dureza_magnesica",matriz_valor!$A$2:$A$26,0),MATCH(D$1,matriz_valor!$B$1:$J$1,0)))</f>
        <v/>
      </c>
      <c r="E6" s="8">
        <f>IF(INDEX(matriz_signo!$B$2:$J$26,MATCH("dureza_magnesica",matriz_valor!$A$2:$A$26,0),MATCH(E$1,matriz_valor!$B$1:$J$1,0))="&lt;",INDEX(matriz_valor!$B$2:$J$26,MATCH("dureza_magnesica",matriz_valor!$A$2:$A$26,0),MATCH(E$1,matriz_valor!$B$1:$J$1,0))/2,INDEX(matriz_valor!$B$2:$J$26,MATCH("dureza_magnesica",matriz_valor!$A$2:$A$26,0),MATCH(E$1,matriz_valor!$B$1:$J$1,0)))</f>
        <v/>
      </c>
      <c r="F6" s="8">
        <f>IF(INDEX(matriz_signo!$B$2:$J$26,MATCH("dureza_magnesica",matriz_valor!$A$2:$A$26,0),MATCH(F$1,matriz_valor!$B$1:$J$1,0))="&lt;",INDEX(matriz_valor!$B$2:$J$26,MATCH("dureza_magnesica",matriz_valor!$A$2:$A$26,0),MATCH(F$1,matriz_valor!$B$1:$J$1,0))/2,INDEX(matriz_valor!$B$2:$J$26,MATCH("dureza_magnesica",matriz_valor!$A$2:$A$26,0),MATCH(F$1,matriz_valor!$B$1:$J$1,0)))</f>
        <v/>
      </c>
      <c r="G6" s="8">
        <f>IF(INDEX(matriz_signo!$B$2:$J$26,MATCH("dureza_magnesica",matriz_valor!$A$2:$A$26,0),MATCH(G$1,matriz_valor!$B$1:$J$1,0))="&lt;",INDEX(matriz_valor!$B$2:$J$26,MATCH("dureza_magnesica",matriz_valor!$A$2:$A$26,0),MATCH(G$1,matriz_valor!$B$1:$J$1,0))/2,INDEX(matriz_valor!$B$2:$J$26,MATCH("dureza_magnesica",matriz_valor!$A$2:$A$26,0),MATCH(G$1,matriz_valor!$B$1:$J$1,0)))</f>
        <v/>
      </c>
      <c r="H6" s="8">
        <f>IF(INDEX(matriz_signo!$B$2:$J$26,MATCH("dureza_magnesica",matriz_valor!$A$2:$A$26,0),MATCH(H$1,matriz_valor!$B$1:$J$1,0))="&lt;",INDEX(matriz_valor!$B$2:$J$26,MATCH("dureza_magnesica",matriz_valor!$A$2:$A$26,0),MATCH(H$1,matriz_valor!$B$1:$J$1,0))/2,INDEX(matriz_valor!$B$2:$J$26,MATCH("dureza_magnesica",matriz_valor!$A$2:$A$26,0),MATCH(H$1,matriz_valor!$B$1:$J$1,0)))</f>
        <v/>
      </c>
      <c r="I6" s="8">
        <f>IF(INDEX(matriz_signo!$B$2:$J$26,MATCH("dureza_magnesica",matriz_valor!$A$2:$A$26,0),MATCH(I$1,matriz_valor!$B$1:$J$1,0))="&lt;",INDEX(matriz_valor!$B$2:$J$26,MATCH("dureza_magnesica",matriz_valor!$A$2:$A$26,0),MATCH(I$1,matriz_valor!$B$1:$J$1,0))/2,INDEX(matriz_valor!$B$2:$J$26,MATCH("dureza_magnesica",matriz_valor!$A$2:$A$26,0),MATCH(I$1,matriz_valor!$B$1:$J$1,0)))</f>
        <v/>
      </c>
      <c r="J6" s="8">
        <f>IF(INDEX(matriz_signo!$B$2:$J$26,MATCH("dureza_magnesica",matriz_valor!$A$2:$A$26,0),MATCH(J$1,matriz_valor!$B$1:$J$1,0))="&lt;",INDEX(matriz_valor!$B$2:$J$26,MATCH("dureza_magnesica",matriz_valor!$A$2:$A$26,0),MATCH(J$1,matriz_valor!$B$1:$J$1,0))/2,INDEX(matriz_valor!$B$2:$J$26,MATCH("dureza_magnesica",matriz_valor!$A$2:$A$26,0),MATCH(J$1,matriz_valor!$B$1:$J$1,0)))</f>
        <v/>
      </c>
      <c r="K6" s="8">
        <f>IF(INDEX(matriz_signo!$B$2:$J$26,MATCH("dureza_magnesica",matriz_valor!$A$2:$A$26,0),MATCH(K$1,matriz_valor!$B$1:$J$1,0))="&lt;",INDEX(matriz_valor!$B$2:$J$26,MATCH("dureza_magnesica",matriz_valor!$A$2:$A$26,0),MATCH(K$1,matriz_valor!$B$1:$J$1,0))/2,INDEX(matriz_valor!$B$2:$J$26,MATCH("dureza_magnesica",matriz_valor!$A$2:$A$26,0),MATCH(K$1,matriz_valor!$B$1:$J$1,0)))</f>
        <v/>
      </c>
    </row>
    <row r="7">
      <c r="A7" t="inlineStr">
        <is>
          <t>Cloruros (mg/L)</t>
        </is>
      </c>
      <c r="B7" s="7" t="inlineStr"/>
      <c r="C7" s="8">
        <f>IF(INDEX(matriz_signo!$B$2:$J$26,MATCH("cloruros",matriz_valor!$A$2:$A$26,0),MATCH(C$1,matriz_valor!$B$1:$J$1,0))="&lt;",INDEX(matriz_valor!$B$2:$J$26,MATCH("cloruros",matriz_valor!$A$2:$A$26,0),MATCH(C$1,matriz_valor!$B$1:$J$1,0))/2,INDEX(matriz_valor!$B$2:$J$26,MATCH("cloruros",matriz_valor!$A$2:$A$26,0),MATCH(C$1,matriz_valor!$B$1:$J$1,0)))</f>
        <v/>
      </c>
      <c r="D7" s="8">
        <f>IF(INDEX(matriz_signo!$B$2:$J$26,MATCH("cloruros",matriz_valor!$A$2:$A$26,0),MATCH(D$1,matriz_valor!$B$1:$J$1,0))="&lt;",INDEX(matriz_valor!$B$2:$J$26,MATCH("cloruros",matriz_valor!$A$2:$A$26,0),MATCH(D$1,matriz_valor!$B$1:$J$1,0))/2,INDEX(matriz_valor!$B$2:$J$26,MATCH("cloruros",matriz_valor!$A$2:$A$26,0),MATCH(D$1,matriz_valor!$B$1:$J$1,0)))</f>
        <v/>
      </c>
      <c r="E7" s="8">
        <f>IF(INDEX(matriz_signo!$B$2:$J$26,MATCH("cloruros",matriz_valor!$A$2:$A$26,0),MATCH(E$1,matriz_valor!$B$1:$J$1,0))="&lt;",INDEX(matriz_valor!$B$2:$J$26,MATCH("cloruros",matriz_valor!$A$2:$A$26,0),MATCH(E$1,matriz_valor!$B$1:$J$1,0))/2,INDEX(matriz_valor!$B$2:$J$26,MATCH("cloruros",matriz_valor!$A$2:$A$26,0),MATCH(E$1,matriz_valor!$B$1:$J$1,0)))</f>
        <v/>
      </c>
      <c r="F7" s="8">
        <f>IF(INDEX(matriz_signo!$B$2:$J$26,MATCH("cloruros",matriz_valor!$A$2:$A$26,0),MATCH(F$1,matriz_valor!$B$1:$J$1,0))="&lt;",INDEX(matriz_valor!$B$2:$J$26,MATCH("cloruros",matriz_valor!$A$2:$A$26,0),MATCH(F$1,matriz_valor!$B$1:$J$1,0))/2,INDEX(matriz_valor!$B$2:$J$26,MATCH("cloruros",matriz_valor!$A$2:$A$26,0),MATCH(F$1,matriz_valor!$B$1:$J$1,0)))</f>
        <v/>
      </c>
      <c r="G7" s="8">
        <f>IF(INDEX(matriz_signo!$B$2:$J$26,MATCH("cloruros",matriz_valor!$A$2:$A$26,0),MATCH(G$1,matriz_valor!$B$1:$J$1,0))="&lt;",INDEX(matriz_valor!$B$2:$J$26,MATCH("cloruros",matriz_valor!$A$2:$A$26,0),MATCH(G$1,matriz_valor!$B$1:$J$1,0))/2,INDEX(matriz_valor!$B$2:$J$26,MATCH("cloruros",matriz_valor!$A$2:$A$26,0),MATCH(G$1,matriz_valor!$B$1:$J$1,0)))</f>
        <v/>
      </c>
      <c r="H7" s="8">
        <f>IF(INDEX(matriz_signo!$B$2:$J$26,MATCH("cloruros",matriz_valor!$A$2:$A$26,0),MATCH(H$1,matriz_valor!$B$1:$J$1,0))="&lt;",INDEX(matriz_valor!$B$2:$J$26,MATCH("cloruros",matriz_valor!$A$2:$A$26,0),MATCH(H$1,matriz_valor!$B$1:$J$1,0))/2,INDEX(matriz_valor!$B$2:$J$26,MATCH("cloruros",matriz_valor!$A$2:$A$26,0),MATCH(H$1,matriz_valor!$B$1:$J$1,0)))</f>
        <v/>
      </c>
      <c r="I7" s="8">
        <f>IF(INDEX(matriz_signo!$B$2:$J$26,MATCH("cloruros",matriz_valor!$A$2:$A$26,0),MATCH(I$1,matriz_valor!$B$1:$J$1,0))="&lt;",INDEX(matriz_valor!$B$2:$J$26,MATCH("cloruros",matriz_valor!$A$2:$A$26,0),MATCH(I$1,matriz_valor!$B$1:$J$1,0))/2,INDEX(matriz_valor!$B$2:$J$26,MATCH("cloruros",matriz_valor!$A$2:$A$26,0),MATCH(I$1,matriz_valor!$B$1:$J$1,0)))</f>
        <v/>
      </c>
      <c r="J7" s="8">
        <f>IF(INDEX(matriz_signo!$B$2:$J$26,MATCH("cloruros",matriz_valor!$A$2:$A$26,0),MATCH(J$1,matriz_valor!$B$1:$J$1,0))="&lt;",INDEX(matriz_valor!$B$2:$J$26,MATCH("cloruros",matriz_valor!$A$2:$A$26,0),MATCH(J$1,matriz_valor!$B$1:$J$1,0))/2,INDEX(matriz_valor!$B$2:$J$26,MATCH("cloruros",matriz_valor!$A$2:$A$26,0),MATCH(J$1,matriz_valor!$B$1:$J$1,0)))</f>
        <v/>
      </c>
      <c r="K7" s="8">
        <f>IF(INDEX(matriz_signo!$B$2:$J$26,MATCH("cloruros",matriz_valor!$A$2:$A$26,0),MATCH(K$1,matriz_valor!$B$1:$J$1,0))="&lt;",INDEX(matriz_valor!$B$2:$J$26,MATCH("cloruros",matriz_valor!$A$2:$A$26,0),MATCH(K$1,matriz_valor!$B$1:$J$1,0))/2,INDEX(matriz_valor!$B$2:$J$26,MATCH("cloruros",matriz_valor!$A$2:$A$26,0),MATCH(K$1,matriz_valor!$B$1:$J$1,0)))</f>
        <v/>
      </c>
    </row>
    <row r="8">
      <c r="A8" t="inlineStr">
        <is>
          <t>Sulfatos (mg/L)</t>
        </is>
      </c>
      <c r="B8" s="7" t="inlineStr"/>
      <c r="C8" s="8">
        <f>IF(INDEX(matriz_signo!$B$2:$J$26,MATCH("sulfatos",matriz_valor!$A$2:$A$26,0),MATCH(C$1,matriz_valor!$B$1:$J$1,0))="&lt;",INDEX(matriz_valor!$B$2:$J$26,MATCH("sulfatos",matriz_valor!$A$2:$A$26,0),MATCH(C$1,matriz_valor!$B$1:$J$1,0))/2,INDEX(matriz_valor!$B$2:$J$26,MATCH("sulfatos",matriz_valor!$A$2:$A$26,0),MATCH(C$1,matriz_valor!$B$1:$J$1,0)))</f>
        <v/>
      </c>
      <c r="D8" s="8">
        <f>IF(INDEX(matriz_signo!$B$2:$J$26,MATCH("sulfatos",matriz_valor!$A$2:$A$26,0),MATCH(D$1,matriz_valor!$B$1:$J$1,0))="&lt;",INDEX(matriz_valor!$B$2:$J$26,MATCH("sulfatos",matriz_valor!$A$2:$A$26,0),MATCH(D$1,matriz_valor!$B$1:$J$1,0))/2,INDEX(matriz_valor!$B$2:$J$26,MATCH("sulfatos",matriz_valor!$A$2:$A$26,0),MATCH(D$1,matriz_valor!$B$1:$J$1,0)))</f>
        <v/>
      </c>
      <c r="E8" s="8">
        <f>IF(INDEX(matriz_signo!$B$2:$J$26,MATCH("sulfatos",matriz_valor!$A$2:$A$26,0),MATCH(E$1,matriz_valor!$B$1:$J$1,0))="&lt;",INDEX(matriz_valor!$B$2:$J$26,MATCH("sulfatos",matriz_valor!$A$2:$A$26,0),MATCH(E$1,matriz_valor!$B$1:$J$1,0))/2,INDEX(matriz_valor!$B$2:$J$26,MATCH("sulfatos",matriz_valor!$A$2:$A$26,0),MATCH(E$1,matriz_valor!$B$1:$J$1,0)))</f>
        <v/>
      </c>
      <c r="F8" s="8">
        <f>IF(INDEX(matriz_signo!$B$2:$J$26,MATCH("sulfatos",matriz_valor!$A$2:$A$26,0),MATCH(F$1,matriz_valor!$B$1:$J$1,0))="&lt;",INDEX(matriz_valor!$B$2:$J$26,MATCH("sulfatos",matriz_valor!$A$2:$A$26,0),MATCH(F$1,matriz_valor!$B$1:$J$1,0))/2,INDEX(matriz_valor!$B$2:$J$26,MATCH("sulfatos",matriz_valor!$A$2:$A$26,0),MATCH(F$1,matriz_valor!$B$1:$J$1,0)))</f>
        <v/>
      </c>
      <c r="G8" s="8">
        <f>IF(INDEX(matriz_signo!$B$2:$J$26,MATCH("sulfatos",matriz_valor!$A$2:$A$26,0),MATCH(G$1,matriz_valor!$B$1:$J$1,0))="&lt;",INDEX(matriz_valor!$B$2:$J$26,MATCH("sulfatos",matriz_valor!$A$2:$A$26,0),MATCH(G$1,matriz_valor!$B$1:$J$1,0))/2,INDEX(matriz_valor!$B$2:$J$26,MATCH("sulfatos",matriz_valor!$A$2:$A$26,0),MATCH(G$1,matriz_valor!$B$1:$J$1,0)))</f>
        <v/>
      </c>
      <c r="H8" s="8">
        <f>IF(INDEX(matriz_signo!$B$2:$J$26,MATCH("sulfatos",matriz_valor!$A$2:$A$26,0),MATCH(H$1,matriz_valor!$B$1:$J$1,0))="&lt;",INDEX(matriz_valor!$B$2:$J$26,MATCH("sulfatos",matriz_valor!$A$2:$A$26,0),MATCH(H$1,matriz_valor!$B$1:$J$1,0))/2,INDEX(matriz_valor!$B$2:$J$26,MATCH("sulfatos",matriz_valor!$A$2:$A$26,0),MATCH(H$1,matriz_valor!$B$1:$J$1,0)))</f>
        <v/>
      </c>
      <c r="I8" s="8">
        <f>IF(INDEX(matriz_signo!$B$2:$J$26,MATCH("sulfatos",matriz_valor!$A$2:$A$26,0),MATCH(I$1,matriz_valor!$B$1:$J$1,0))="&lt;",INDEX(matriz_valor!$B$2:$J$26,MATCH("sulfatos",matriz_valor!$A$2:$A$26,0),MATCH(I$1,matriz_valor!$B$1:$J$1,0))/2,INDEX(matriz_valor!$B$2:$J$26,MATCH("sulfatos",matriz_valor!$A$2:$A$26,0),MATCH(I$1,matriz_valor!$B$1:$J$1,0)))</f>
        <v/>
      </c>
      <c r="J8" s="8">
        <f>IF(INDEX(matriz_signo!$B$2:$J$26,MATCH("sulfatos",matriz_valor!$A$2:$A$26,0),MATCH(J$1,matriz_valor!$B$1:$J$1,0))="&lt;",INDEX(matriz_valor!$B$2:$J$26,MATCH("sulfatos",matriz_valor!$A$2:$A$26,0),MATCH(J$1,matriz_valor!$B$1:$J$1,0))/2,INDEX(matriz_valor!$B$2:$J$26,MATCH("sulfatos",matriz_valor!$A$2:$A$26,0),MATCH(J$1,matriz_valor!$B$1:$J$1,0)))</f>
        <v/>
      </c>
      <c r="K8" s="8">
        <f>IF(INDEX(matriz_signo!$B$2:$J$26,MATCH("sulfatos",matriz_valor!$A$2:$A$26,0),MATCH(K$1,matriz_valor!$B$1:$J$1,0))="&lt;",INDEX(matriz_valor!$B$2:$J$26,MATCH("sulfatos",matriz_valor!$A$2:$A$26,0),MATCH(K$1,matriz_valor!$B$1:$J$1,0))/2,INDEX(matriz_valor!$B$2:$J$26,MATCH("sulfatos",matriz_valor!$A$2:$A$26,0),MATCH(K$1,matriz_valor!$B$1:$J$1,0)))</f>
        <v/>
      </c>
    </row>
    <row r="9">
      <c r="A9" t="inlineStr">
        <is>
          <t>Nitratos (mg/L N-NO3)</t>
        </is>
      </c>
      <c r="B9" s="7" t="inlineStr"/>
      <c r="C9" s="8">
        <f>IF(INDEX(matriz_signo!$B$2:$J$26,MATCH("nitratos_n",matriz_valor!$A$2:$A$26,0),MATCH(C$1,matriz_valor!$B$1:$J$1,0))="&lt;",INDEX(matriz_valor!$B$2:$J$26,MATCH("nitratos_n",matriz_valor!$A$2:$A$26,0),MATCH(C$1,matriz_valor!$B$1:$J$1,0))/2,INDEX(matriz_valor!$B$2:$J$26,MATCH("nitratos_n",matriz_valor!$A$2:$A$26,0),MATCH(C$1,matriz_valor!$B$1:$J$1,0)))</f>
        <v/>
      </c>
      <c r="D9" s="8">
        <f>IF(INDEX(matriz_signo!$B$2:$J$26,MATCH("nitratos_n",matriz_valor!$A$2:$A$26,0),MATCH(D$1,matriz_valor!$B$1:$J$1,0))="&lt;",INDEX(matriz_valor!$B$2:$J$26,MATCH("nitratos_n",matriz_valor!$A$2:$A$26,0),MATCH(D$1,matriz_valor!$B$1:$J$1,0))/2,INDEX(matriz_valor!$B$2:$J$26,MATCH("nitratos_n",matriz_valor!$A$2:$A$26,0),MATCH(D$1,matriz_valor!$B$1:$J$1,0)))</f>
        <v/>
      </c>
      <c r="E9" s="8">
        <f>IF(INDEX(matriz_signo!$B$2:$J$26,MATCH("nitratos_n",matriz_valor!$A$2:$A$26,0),MATCH(E$1,matriz_valor!$B$1:$J$1,0))="&lt;",INDEX(matriz_valor!$B$2:$J$26,MATCH("nitratos_n",matriz_valor!$A$2:$A$26,0),MATCH(E$1,matriz_valor!$B$1:$J$1,0))/2,INDEX(matriz_valor!$B$2:$J$26,MATCH("nitratos_n",matriz_valor!$A$2:$A$26,0),MATCH(E$1,matriz_valor!$B$1:$J$1,0)))</f>
        <v/>
      </c>
      <c r="F9" s="8">
        <f>IF(INDEX(matriz_signo!$B$2:$J$26,MATCH("nitratos_n",matriz_valor!$A$2:$A$26,0),MATCH(F$1,matriz_valor!$B$1:$J$1,0))="&lt;",INDEX(matriz_valor!$B$2:$J$26,MATCH("nitratos_n",matriz_valor!$A$2:$A$26,0),MATCH(F$1,matriz_valor!$B$1:$J$1,0))/2,INDEX(matriz_valor!$B$2:$J$26,MATCH("nitratos_n",matriz_valor!$A$2:$A$26,0),MATCH(F$1,matriz_valor!$B$1:$J$1,0)))</f>
        <v/>
      </c>
      <c r="G9" s="8">
        <f>IF(INDEX(matriz_signo!$B$2:$J$26,MATCH("nitratos_n",matriz_valor!$A$2:$A$26,0),MATCH(G$1,matriz_valor!$B$1:$J$1,0))="&lt;",INDEX(matriz_valor!$B$2:$J$26,MATCH("nitratos_n",matriz_valor!$A$2:$A$26,0),MATCH(G$1,matriz_valor!$B$1:$J$1,0))/2,INDEX(matriz_valor!$B$2:$J$26,MATCH("nitratos_n",matriz_valor!$A$2:$A$26,0),MATCH(G$1,matriz_valor!$B$1:$J$1,0)))</f>
        <v/>
      </c>
      <c r="H9" s="8">
        <f>IF(INDEX(matriz_signo!$B$2:$J$26,MATCH("nitratos_n",matriz_valor!$A$2:$A$26,0),MATCH(H$1,matriz_valor!$B$1:$J$1,0))="&lt;",INDEX(matriz_valor!$B$2:$J$26,MATCH("nitratos_n",matriz_valor!$A$2:$A$26,0),MATCH(H$1,matriz_valor!$B$1:$J$1,0))/2,INDEX(matriz_valor!$B$2:$J$26,MATCH("nitratos_n",matriz_valor!$A$2:$A$26,0),MATCH(H$1,matriz_valor!$B$1:$J$1,0)))</f>
        <v/>
      </c>
      <c r="I9" s="8">
        <f>IF(INDEX(matriz_signo!$B$2:$J$26,MATCH("nitratos_n",matriz_valor!$A$2:$A$26,0),MATCH(I$1,matriz_valor!$B$1:$J$1,0))="&lt;",INDEX(matriz_valor!$B$2:$J$26,MATCH("nitratos_n",matriz_valor!$A$2:$A$26,0),MATCH(I$1,matriz_valor!$B$1:$J$1,0))/2,INDEX(matriz_valor!$B$2:$J$26,MATCH("nitratos_n",matriz_valor!$A$2:$A$26,0),MATCH(I$1,matriz_valor!$B$1:$J$1,0)))</f>
        <v/>
      </c>
      <c r="J9" s="8">
        <f>IF(INDEX(matriz_signo!$B$2:$J$26,MATCH("nitratos_n",matriz_valor!$A$2:$A$26,0),MATCH(J$1,matriz_valor!$B$1:$J$1,0))="&lt;",INDEX(matriz_valor!$B$2:$J$26,MATCH("nitratos_n",matriz_valor!$A$2:$A$26,0),MATCH(J$1,matriz_valor!$B$1:$J$1,0))/2,INDEX(matriz_valor!$B$2:$J$26,MATCH("nitratos_n",matriz_valor!$A$2:$A$26,0),MATCH(J$1,matriz_valor!$B$1:$J$1,0)))</f>
        <v/>
      </c>
      <c r="K9" s="8">
        <f>IF(INDEX(matriz_signo!$B$2:$J$26,MATCH("nitratos_n",matriz_valor!$A$2:$A$26,0),MATCH(K$1,matriz_valor!$B$1:$J$1,0))="&lt;",INDEX(matriz_valor!$B$2:$J$26,MATCH("nitratos_n",matriz_valor!$A$2:$A$26,0),MATCH(K$1,matriz_valor!$B$1:$J$1,0))/2,INDEX(matriz_valor!$B$2:$J$26,MATCH("nitratos_n",matriz_valor!$A$2:$A$26,0),MATCH(K$1,matriz_valor!$B$1:$J$1,0)))</f>
        <v/>
      </c>
    </row>
    <row r="10">
      <c r="A10" t="inlineStr">
        <is>
          <t>Fluoruros (mg/L)</t>
        </is>
      </c>
      <c r="B10" s="7" t="inlineStr"/>
      <c r="C10" s="8">
        <f>IF(INDEX(matriz_signo!$B$2:$J$26,MATCH("fluoruros",matriz_valor!$A$2:$A$26,0),MATCH(C$1,matriz_valor!$B$1:$J$1,0))="&lt;",INDEX(matriz_valor!$B$2:$J$26,MATCH("fluoruros",matriz_valor!$A$2:$A$26,0),MATCH(C$1,matriz_valor!$B$1:$J$1,0))/2,INDEX(matriz_valor!$B$2:$J$26,MATCH("fluoruros",matriz_valor!$A$2:$A$26,0),MATCH(C$1,matriz_valor!$B$1:$J$1,0)))</f>
        <v/>
      </c>
      <c r="D10" s="8">
        <f>IF(INDEX(matriz_signo!$B$2:$J$26,MATCH("fluoruros",matriz_valor!$A$2:$A$26,0),MATCH(D$1,matriz_valor!$B$1:$J$1,0))="&lt;",INDEX(matriz_valor!$B$2:$J$26,MATCH("fluoruros",matriz_valor!$A$2:$A$26,0),MATCH(D$1,matriz_valor!$B$1:$J$1,0))/2,INDEX(matriz_valor!$B$2:$J$26,MATCH("fluoruros",matriz_valor!$A$2:$A$26,0),MATCH(D$1,matriz_valor!$B$1:$J$1,0)))</f>
        <v/>
      </c>
      <c r="E10" s="8">
        <f>IF(INDEX(matriz_signo!$B$2:$J$26,MATCH("fluoruros",matriz_valor!$A$2:$A$26,0),MATCH(E$1,matriz_valor!$B$1:$J$1,0))="&lt;",INDEX(matriz_valor!$B$2:$J$26,MATCH("fluoruros",matriz_valor!$A$2:$A$26,0),MATCH(E$1,matriz_valor!$B$1:$J$1,0))/2,INDEX(matriz_valor!$B$2:$J$26,MATCH("fluoruros",matriz_valor!$A$2:$A$26,0),MATCH(E$1,matriz_valor!$B$1:$J$1,0)))</f>
        <v/>
      </c>
      <c r="F10" s="8">
        <f>IF(INDEX(matriz_signo!$B$2:$J$26,MATCH("fluoruros",matriz_valor!$A$2:$A$26,0),MATCH(F$1,matriz_valor!$B$1:$J$1,0))="&lt;",INDEX(matriz_valor!$B$2:$J$26,MATCH("fluoruros",matriz_valor!$A$2:$A$26,0),MATCH(F$1,matriz_valor!$B$1:$J$1,0))/2,INDEX(matriz_valor!$B$2:$J$26,MATCH("fluoruros",matriz_valor!$A$2:$A$26,0),MATCH(F$1,matriz_valor!$B$1:$J$1,0)))</f>
        <v/>
      </c>
      <c r="G10" s="8">
        <f>IF(INDEX(matriz_signo!$B$2:$J$26,MATCH("fluoruros",matriz_valor!$A$2:$A$26,0),MATCH(G$1,matriz_valor!$B$1:$J$1,0))="&lt;",INDEX(matriz_valor!$B$2:$J$26,MATCH("fluoruros",matriz_valor!$A$2:$A$26,0),MATCH(G$1,matriz_valor!$B$1:$J$1,0))/2,INDEX(matriz_valor!$B$2:$J$26,MATCH("fluoruros",matriz_valor!$A$2:$A$26,0),MATCH(G$1,matriz_valor!$B$1:$J$1,0)))</f>
        <v/>
      </c>
      <c r="H10" s="8">
        <f>IF(INDEX(matriz_signo!$B$2:$J$26,MATCH("fluoruros",matriz_valor!$A$2:$A$26,0),MATCH(H$1,matriz_valor!$B$1:$J$1,0))="&lt;",INDEX(matriz_valor!$B$2:$J$26,MATCH("fluoruros",matriz_valor!$A$2:$A$26,0),MATCH(H$1,matriz_valor!$B$1:$J$1,0))/2,INDEX(matriz_valor!$B$2:$J$26,MATCH("fluoruros",matriz_valor!$A$2:$A$26,0),MATCH(H$1,matriz_valor!$B$1:$J$1,0)))</f>
        <v/>
      </c>
      <c r="I10" s="8">
        <f>IF(INDEX(matriz_signo!$B$2:$J$26,MATCH("fluoruros",matriz_valor!$A$2:$A$26,0),MATCH(I$1,matriz_valor!$B$1:$J$1,0))="&lt;",INDEX(matriz_valor!$B$2:$J$26,MATCH("fluoruros",matriz_valor!$A$2:$A$26,0),MATCH(I$1,matriz_valor!$B$1:$J$1,0))/2,INDEX(matriz_valor!$B$2:$J$26,MATCH("fluoruros",matriz_valor!$A$2:$A$26,0),MATCH(I$1,matriz_valor!$B$1:$J$1,0)))</f>
        <v/>
      </c>
      <c r="J10" s="8">
        <f>IF(INDEX(matriz_signo!$B$2:$J$26,MATCH("fluoruros",matriz_valor!$A$2:$A$26,0),MATCH(J$1,matriz_valor!$B$1:$J$1,0))="&lt;",INDEX(matriz_valor!$B$2:$J$26,MATCH("fluoruros",matriz_valor!$A$2:$A$26,0),MATCH(J$1,matriz_valor!$B$1:$J$1,0))/2,INDEX(matriz_valor!$B$2:$J$26,MATCH("fluoruros",matriz_valor!$A$2:$A$26,0),MATCH(J$1,matriz_valor!$B$1:$J$1,0)))</f>
        <v/>
      </c>
      <c r="K10" s="8">
        <f>IF(INDEX(matriz_signo!$B$2:$J$26,MATCH("fluoruros",matriz_valor!$A$2:$A$26,0),MATCH(K$1,matriz_valor!$B$1:$J$1,0))="&lt;",INDEX(matriz_valor!$B$2:$J$26,MATCH("fluoruros",matriz_valor!$A$2:$A$26,0),MATCH(K$1,matriz_valor!$B$1:$J$1,0))/2,INDEX(matriz_valor!$B$2:$J$26,MATCH("fluoruros",matriz_valor!$A$2:$A$26,0),MATCH(K$1,matriz_valor!$B$1:$J$1,0)))</f>
        <v/>
      </c>
    </row>
    <row r="11">
      <c r="A11" t="inlineStr">
        <is>
          <t>Conductividad medida (µS/cm)</t>
        </is>
      </c>
      <c r="B11" s="7" t="inlineStr"/>
      <c r="C11" s="8">
        <f>IF(INDEX(matriz_signo!$B$2:$J$26,MATCH("conductividad",matriz_valor!$A$2:$A$26,0),MATCH(C$1,matriz_valor!$B$1:$J$1,0))="&lt;",INDEX(matriz_valor!$B$2:$J$26,MATCH("conductividad",matriz_valor!$A$2:$A$26,0),MATCH(C$1,matriz_valor!$B$1:$J$1,0))/2,INDEX(matriz_valor!$B$2:$J$26,MATCH("conductividad",matriz_valor!$A$2:$A$26,0),MATCH(C$1,matriz_valor!$B$1:$J$1,0)))</f>
        <v/>
      </c>
      <c r="D11" s="8">
        <f>IF(INDEX(matriz_signo!$B$2:$J$26,MATCH("conductividad",matriz_valor!$A$2:$A$26,0),MATCH(D$1,matriz_valor!$B$1:$J$1,0))="&lt;",INDEX(matriz_valor!$B$2:$J$26,MATCH("conductividad",matriz_valor!$A$2:$A$26,0),MATCH(D$1,matriz_valor!$B$1:$J$1,0))/2,INDEX(matriz_valor!$B$2:$J$26,MATCH("conductividad",matriz_valor!$A$2:$A$26,0),MATCH(D$1,matriz_valor!$B$1:$J$1,0)))</f>
        <v/>
      </c>
      <c r="E11" s="8">
        <f>IF(INDEX(matriz_signo!$B$2:$J$26,MATCH("conductividad",matriz_valor!$A$2:$A$26,0),MATCH(E$1,matriz_valor!$B$1:$J$1,0))="&lt;",INDEX(matriz_valor!$B$2:$J$26,MATCH("conductividad",matriz_valor!$A$2:$A$26,0),MATCH(E$1,matriz_valor!$B$1:$J$1,0))/2,INDEX(matriz_valor!$B$2:$J$26,MATCH("conductividad",matriz_valor!$A$2:$A$26,0),MATCH(E$1,matriz_valor!$B$1:$J$1,0)))</f>
        <v/>
      </c>
      <c r="F11" s="8">
        <f>IF(INDEX(matriz_signo!$B$2:$J$26,MATCH("conductividad",matriz_valor!$A$2:$A$26,0),MATCH(F$1,matriz_valor!$B$1:$J$1,0))="&lt;",INDEX(matriz_valor!$B$2:$J$26,MATCH("conductividad",matriz_valor!$A$2:$A$26,0),MATCH(F$1,matriz_valor!$B$1:$J$1,0))/2,INDEX(matriz_valor!$B$2:$J$26,MATCH("conductividad",matriz_valor!$A$2:$A$26,0),MATCH(F$1,matriz_valor!$B$1:$J$1,0)))</f>
        <v/>
      </c>
      <c r="G11" s="8">
        <f>IF(INDEX(matriz_signo!$B$2:$J$26,MATCH("conductividad",matriz_valor!$A$2:$A$26,0),MATCH(G$1,matriz_valor!$B$1:$J$1,0))="&lt;",INDEX(matriz_valor!$B$2:$J$26,MATCH("conductividad",matriz_valor!$A$2:$A$26,0),MATCH(G$1,matriz_valor!$B$1:$J$1,0))/2,INDEX(matriz_valor!$B$2:$J$26,MATCH("conductividad",matriz_valor!$A$2:$A$26,0),MATCH(G$1,matriz_valor!$B$1:$J$1,0)))</f>
        <v/>
      </c>
      <c r="H11" s="8">
        <f>IF(INDEX(matriz_signo!$B$2:$J$26,MATCH("conductividad",matriz_valor!$A$2:$A$26,0),MATCH(H$1,matriz_valor!$B$1:$J$1,0))="&lt;",INDEX(matriz_valor!$B$2:$J$26,MATCH("conductividad",matriz_valor!$A$2:$A$26,0),MATCH(H$1,matriz_valor!$B$1:$J$1,0))/2,INDEX(matriz_valor!$B$2:$J$26,MATCH("conductividad",matriz_valor!$A$2:$A$26,0),MATCH(H$1,matriz_valor!$B$1:$J$1,0)))</f>
        <v/>
      </c>
      <c r="I11" s="8">
        <f>IF(INDEX(matriz_signo!$B$2:$J$26,MATCH("conductividad",matriz_valor!$A$2:$A$26,0),MATCH(I$1,matriz_valor!$B$1:$J$1,0))="&lt;",INDEX(matriz_valor!$B$2:$J$26,MATCH("conductividad",matriz_valor!$A$2:$A$26,0),MATCH(I$1,matriz_valor!$B$1:$J$1,0))/2,INDEX(matriz_valor!$B$2:$J$26,MATCH("conductividad",matriz_valor!$A$2:$A$26,0),MATCH(I$1,matriz_valor!$B$1:$J$1,0)))</f>
        <v/>
      </c>
      <c r="J11" s="8">
        <f>IF(INDEX(matriz_signo!$B$2:$J$26,MATCH("conductividad",matriz_valor!$A$2:$A$26,0),MATCH(J$1,matriz_valor!$B$1:$J$1,0))="&lt;",INDEX(matriz_valor!$B$2:$J$26,MATCH("conductividad",matriz_valor!$A$2:$A$26,0),MATCH(J$1,matriz_valor!$B$1:$J$1,0))/2,INDEX(matriz_valor!$B$2:$J$26,MATCH("conductividad",matriz_valor!$A$2:$A$26,0),MATCH(J$1,matriz_valor!$B$1:$J$1,0)))</f>
        <v/>
      </c>
      <c r="K11" s="8">
        <f>IF(INDEX(matriz_signo!$B$2:$J$26,MATCH("conductividad",matriz_valor!$A$2:$A$26,0),MATCH(K$1,matriz_valor!$B$1:$J$1,0))="&lt;",INDEX(matriz_valor!$B$2:$J$26,MATCH("conductividad",matriz_valor!$A$2:$A$26,0),MATCH(K$1,matriz_valor!$B$1:$J$1,0))/2,INDEX(matriz_valor!$B$2:$J$26,MATCH("conductividad",matriz_valor!$A$2:$A$26,0),MATCH(K$1,matriz_valor!$B$1:$J$1,0)))</f>
        <v/>
      </c>
    </row>
    <row r="12">
      <c r="A12" t="inlineStr">
        <is>
          <t>[H+] (mmol/L)</t>
        </is>
      </c>
      <c r="B12" s="7" t="inlineStr">
        <is>
          <t>1000·10^(−pH)</t>
        </is>
      </c>
      <c r="C12" s="8">
        <f>1000*10^(-C3)</f>
        <v/>
      </c>
      <c r="D12" s="8">
        <f>1000*10^(-D3)</f>
        <v/>
      </c>
      <c r="E12" s="8">
        <f>1000*10^(-E3)</f>
        <v/>
      </c>
      <c r="F12" s="8">
        <f>1000*10^(-F3)</f>
        <v/>
      </c>
      <c r="G12" s="8">
        <f>1000*10^(-G3)</f>
        <v/>
      </c>
      <c r="H12" s="8">
        <f>1000*10^(-H3)</f>
        <v/>
      </c>
      <c r="I12" s="8">
        <f>1000*10^(-I3)</f>
        <v/>
      </c>
      <c r="J12" s="8">
        <f>1000*10^(-J3)</f>
        <v/>
      </c>
      <c r="K12" s="8">
        <f>1000*10^(-K3)</f>
        <v/>
      </c>
    </row>
    <row r="13">
      <c r="A13" t="inlineStr">
        <is>
          <t>Alcalinidad (meq/L)</t>
        </is>
      </c>
      <c r="B13" s="7" t="inlineStr">
        <is>
          <t>Alc / 50,043</t>
        </is>
      </c>
      <c r="C13" s="8">
        <f>C4/50.043</f>
        <v/>
      </c>
      <c r="D13" s="8">
        <f>D4/50.043</f>
        <v/>
      </c>
      <c r="E13" s="8">
        <f>E4/50.043</f>
        <v/>
      </c>
      <c r="F13" s="8">
        <f>F4/50.043</f>
        <v/>
      </c>
      <c r="G13" s="8">
        <f>G4/50.043</f>
        <v/>
      </c>
      <c r="H13" s="8">
        <f>H4/50.043</f>
        <v/>
      </c>
      <c r="I13" s="8">
        <f>I4/50.043</f>
        <v/>
      </c>
      <c r="J13" s="8">
        <f>J4/50.043</f>
        <v/>
      </c>
      <c r="K13" s="8">
        <f>K4/50.043</f>
        <v/>
      </c>
    </row>
    <row r="14">
      <c r="A14" t="inlineStr">
        <is>
          <t>HCO3- (mmol/L)</t>
        </is>
      </c>
      <c r="B14" s="7" t="inlineStr">
        <is>
          <t>(Alc_meq − OH + H)/(1 + 2·K2/[H+]); pK2 = 10,329; pKw = 14</t>
        </is>
      </c>
      <c r="C14" s="8">
        <f>(C13-1000*10^(C3-14)+C12)/(1+2*10^(-10.329+C3))</f>
        <v/>
      </c>
      <c r="D14" s="8">
        <f>(D13-1000*10^(D3-14)+D12)/(1+2*10^(-10.329+D3))</f>
        <v/>
      </c>
      <c r="E14" s="8">
        <f>(E13-1000*10^(E3-14)+E12)/(1+2*10^(-10.329+E3))</f>
        <v/>
      </c>
      <c r="F14" s="8">
        <f>(F13-1000*10^(F3-14)+F12)/(1+2*10^(-10.329+F3))</f>
        <v/>
      </c>
      <c r="G14" s="8">
        <f>(G13-1000*10^(G3-14)+G12)/(1+2*10^(-10.329+G3))</f>
        <v/>
      </c>
      <c r="H14" s="8">
        <f>(H13-1000*10^(H3-14)+H12)/(1+2*10^(-10.329+H3))</f>
        <v/>
      </c>
      <c r="I14" s="8">
        <f>(I13-1000*10^(I3-14)+I12)/(1+2*10^(-10.329+I3))</f>
        <v/>
      </c>
      <c r="J14" s="8">
        <f>(J13-1000*10^(J3-14)+J12)/(1+2*10^(-10.329+J3))</f>
        <v/>
      </c>
      <c r="K14" s="8">
        <f>(K13-1000*10^(K3-14)+K12)/(1+2*10^(-10.329+K3))</f>
        <v/>
      </c>
    </row>
    <row r="15">
      <c r="A15" t="inlineStr">
        <is>
          <t>CO3 2- (mmol/L)</t>
        </is>
      </c>
      <c r="B15" s="7" t="inlineStr">
        <is>
          <t>HCO3 · K2/[H+]</t>
        </is>
      </c>
      <c r="C15" s="8">
        <f>C14*10^(-10.329+C3)</f>
        <v/>
      </c>
      <c r="D15" s="8">
        <f>D14*10^(-10.329+D3)</f>
        <v/>
      </c>
      <c r="E15" s="8">
        <f>E14*10^(-10.329+E3)</f>
        <v/>
      </c>
      <c r="F15" s="8">
        <f>F14*10^(-10.329+F3)</f>
        <v/>
      </c>
      <c r="G15" s="8">
        <f>G14*10^(-10.329+G3)</f>
        <v/>
      </c>
      <c r="H15" s="8">
        <f>H14*10^(-10.329+H3)</f>
        <v/>
      </c>
      <c r="I15" s="8">
        <f>I14*10^(-10.329+I3)</f>
        <v/>
      </c>
      <c r="J15" s="8">
        <f>J14*10^(-10.329+J3)</f>
        <v/>
      </c>
      <c r="K15" s="8">
        <f>K14*10^(-10.329+K3)</f>
        <v/>
      </c>
    </row>
    <row r="16">
      <c r="A16" t="inlineStr">
        <is>
          <t>HCO3- (mg/L) por especiación</t>
        </is>
      </c>
      <c r="B16" s="7" t="inlineStr">
        <is>
          <t>HCO3 mmol × 61,016</t>
        </is>
      </c>
      <c r="C16" s="8">
        <f>C14*61.016</f>
        <v/>
      </c>
      <c r="D16" s="8">
        <f>D14*61.016</f>
        <v/>
      </c>
      <c r="E16" s="8">
        <f>E14*61.016</f>
        <v/>
      </c>
      <c r="F16" s="8">
        <f>F14*61.016</f>
        <v/>
      </c>
      <c r="G16" s="8">
        <f>G14*61.016</f>
        <v/>
      </c>
      <c r="H16" s="8">
        <f>H14*61.016</f>
        <v/>
      </c>
      <c r="I16" s="8">
        <f>I14*61.016</f>
        <v/>
      </c>
      <c r="J16" s="8">
        <f>J14*61.016</f>
        <v/>
      </c>
      <c r="K16" s="8">
        <f>K14*61.016</f>
        <v/>
      </c>
    </row>
    <row r="17">
      <c r="A17" t="inlineStr">
        <is>
          <t>HCO3- (mg/L) aproximación simple</t>
        </is>
      </c>
      <c r="B17" s="7" t="inlineStr">
        <is>
          <t>Alc × 61,016/50,043 = Alc × 1,2193</t>
        </is>
      </c>
      <c r="C17" s="8">
        <f>C4*61.016/50.043</f>
        <v/>
      </c>
      <c r="D17" s="8">
        <f>D4*61.016/50.043</f>
        <v/>
      </c>
      <c r="E17" s="8">
        <f>E4*61.016/50.043</f>
        <v/>
      </c>
      <c r="F17" s="8">
        <f>F4*61.016/50.043</f>
        <v/>
      </c>
      <c r="G17" s="8">
        <f>G4*61.016/50.043</f>
        <v/>
      </c>
      <c r="H17" s="8">
        <f>H4*61.016/50.043</f>
        <v/>
      </c>
      <c r="I17" s="8">
        <f>I4*61.016/50.043</f>
        <v/>
      </c>
      <c r="J17" s="8">
        <f>J4*61.016/50.043</f>
        <v/>
      </c>
      <c r="K17" s="8">
        <f>K4*61.016/50.043</f>
        <v/>
      </c>
    </row>
    <row r="18">
      <c r="A18" t="inlineStr">
        <is>
          <t>CO2 libre (mg/L)</t>
        </is>
      </c>
      <c r="B18" s="7" t="inlineStr">
        <is>
          <t>HCO3 · [H+]/K1 × 44,009; pK1 = 6,352</t>
        </is>
      </c>
      <c r="C18" s="8">
        <f>C14*10^(-C3)/10^(-6.352)*44.009</f>
        <v/>
      </c>
      <c r="D18" s="8">
        <f>D14*10^(-D3)/10^(-6.352)*44.009</f>
        <v/>
      </c>
      <c r="E18" s="8">
        <f>E14*10^(-E3)/10^(-6.352)*44.009</f>
        <v/>
      </c>
      <c r="F18" s="8">
        <f>F14*10^(-F3)/10^(-6.352)*44.009</f>
        <v/>
      </c>
      <c r="G18" s="8">
        <f>G14*10^(-G3)/10^(-6.352)*44.009</f>
        <v/>
      </c>
      <c r="H18" s="8">
        <f>H14*10^(-H3)/10^(-6.352)*44.009</f>
        <v/>
      </c>
      <c r="I18" s="8">
        <f>I14*10^(-I3)/10^(-6.352)*44.009</f>
        <v/>
      </c>
      <c r="J18" s="8">
        <f>J14*10^(-J3)/10^(-6.352)*44.009</f>
        <v/>
      </c>
      <c r="K18" s="8">
        <f>K14*10^(-K3)/10^(-6.352)*44.009</f>
        <v/>
      </c>
    </row>
    <row r="19">
      <c r="A19" t="inlineStr">
        <is>
          <t>Ca2+ (meq/L)</t>
        </is>
      </c>
      <c r="B19" s="7" t="inlineStr">
        <is>
          <t>Dureza cálcica / 50,043</t>
        </is>
      </c>
      <c r="C19" s="8">
        <f>C5/50.043</f>
        <v/>
      </c>
      <c r="D19" s="8">
        <f>D5/50.043</f>
        <v/>
      </c>
      <c r="E19" s="8">
        <f>E5/50.043</f>
        <v/>
      </c>
      <c r="F19" s="8">
        <f>F5/50.043</f>
        <v/>
      </c>
      <c r="G19" s="8">
        <f>G5/50.043</f>
        <v/>
      </c>
      <c r="H19" s="8">
        <f>H5/50.043</f>
        <v/>
      </c>
      <c r="I19" s="8">
        <f>I5/50.043</f>
        <v/>
      </c>
      <c r="J19" s="8">
        <f>J5/50.043</f>
        <v/>
      </c>
      <c r="K19" s="8">
        <f>K5/50.043</f>
        <v/>
      </c>
    </row>
    <row r="20">
      <c r="A20" t="inlineStr">
        <is>
          <t>Mg2+ (meq/L)</t>
        </is>
      </c>
      <c r="B20" s="7" t="inlineStr">
        <is>
          <t>Dureza magnésica / 50,043</t>
        </is>
      </c>
      <c r="C20" s="8">
        <f>C6/50.043</f>
        <v/>
      </c>
      <c r="D20" s="8">
        <f>D6/50.043</f>
        <v/>
      </c>
      <c r="E20" s="8">
        <f>E6/50.043</f>
        <v/>
      </c>
      <c r="F20" s="8">
        <f>F6/50.043</f>
        <v/>
      </c>
      <c r="G20" s="8">
        <f>G6/50.043</f>
        <v/>
      </c>
      <c r="H20" s="8">
        <f>H6/50.043</f>
        <v/>
      </c>
      <c r="I20" s="8">
        <f>I6/50.043</f>
        <v/>
      </c>
      <c r="J20" s="8">
        <f>J6/50.043</f>
        <v/>
      </c>
      <c r="K20" s="8">
        <f>K6/50.043</f>
        <v/>
      </c>
    </row>
    <row r="21">
      <c r="A21" t="inlineStr">
        <is>
          <t>HCO3- (meq/L)</t>
        </is>
      </c>
      <c r="B21" s="7">
        <f> mmol/L</f>
        <v/>
      </c>
      <c r="C21" s="8">
        <f>C14</f>
        <v/>
      </c>
      <c r="D21" s="8">
        <f>D14</f>
        <v/>
      </c>
      <c r="E21" s="8">
        <f>E14</f>
        <v/>
      </c>
      <c r="F21" s="8">
        <f>F14</f>
        <v/>
      </c>
      <c r="G21" s="8">
        <f>G14</f>
        <v/>
      </c>
      <c r="H21" s="8">
        <f>H14</f>
        <v/>
      </c>
      <c r="I21" s="8">
        <f>I14</f>
        <v/>
      </c>
      <c r="J21" s="8">
        <f>J14</f>
        <v/>
      </c>
      <c r="K21" s="8">
        <f>K14</f>
        <v/>
      </c>
    </row>
    <row r="22">
      <c r="A22" t="inlineStr">
        <is>
          <t>CO3 2- (meq/L)</t>
        </is>
      </c>
      <c r="B22" s="7" t="inlineStr">
        <is>
          <t>2 × mmol/L</t>
        </is>
      </c>
      <c r="C22" s="8">
        <f>2*C15</f>
        <v/>
      </c>
      <c r="D22" s="8">
        <f>2*D15</f>
        <v/>
      </c>
      <c r="E22" s="8">
        <f>2*E15</f>
        <v/>
      </c>
      <c r="F22" s="8">
        <f>2*F15</f>
        <v/>
      </c>
      <c r="G22" s="8">
        <f>2*G15</f>
        <v/>
      </c>
      <c r="H22" s="8">
        <f>2*H15</f>
        <v/>
      </c>
      <c r="I22" s="8">
        <f>2*I15</f>
        <v/>
      </c>
      <c r="J22" s="8">
        <f>2*J15</f>
        <v/>
      </c>
      <c r="K22" s="8">
        <f>2*K15</f>
        <v/>
      </c>
    </row>
    <row r="23">
      <c r="A23" t="inlineStr">
        <is>
          <t>Cl- (meq/L)</t>
        </is>
      </c>
      <c r="B23" s="7" t="inlineStr">
        <is>
          <t>mg/L / 35,453</t>
        </is>
      </c>
      <c r="C23" s="8">
        <f>C7/35.453</f>
        <v/>
      </c>
      <c r="D23" s="8">
        <f>D7/35.453</f>
        <v/>
      </c>
      <c r="E23" s="8">
        <f>E7/35.453</f>
        <v/>
      </c>
      <c r="F23" s="8">
        <f>F7/35.453</f>
        <v/>
      </c>
      <c r="G23" s="8">
        <f>G7/35.453</f>
        <v/>
      </c>
      <c r="H23" s="8">
        <f>H7/35.453</f>
        <v/>
      </c>
      <c r="I23" s="8">
        <f>I7/35.453</f>
        <v/>
      </c>
      <c r="J23" s="8">
        <f>J7/35.453</f>
        <v/>
      </c>
      <c r="K23" s="8">
        <f>K7/35.453</f>
        <v/>
      </c>
    </row>
    <row r="24">
      <c r="A24" t="inlineStr">
        <is>
          <t>SO4 2- (meq/L)</t>
        </is>
      </c>
      <c r="B24" s="7" t="inlineStr">
        <is>
          <t>mg/L / 48,03</t>
        </is>
      </c>
      <c r="C24" s="8">
        <f>C8/48.03</f>
        <v/>
      </c>
      <c r="D24" s="8">
        <f>D8/48.03</f>
        <v/>
      </c>
      <c r="E24" s="8">
        <f>E8/48.03</f>
        <v/>
      </c>
      <c r="F24" s="8">
        <f>F8/48.03</f>
        <v/>
      </c>
      <c r="G24" s="8">
        <f>G8/48.03</f>
        <v/>
      </c>
      <c r="H24" s="8">
        <f>H8/48.03</f>
        <v/>
      </c>
      <c r="I24" s="8">
        <f>I8/48.03</f>
        <v/>
      </c>
      <c r="J24" s="8">
        <f>J8/48.03</f>
        <v/>
      </c>
      <c r="K24" s="8">
        <f>K8/48.03</f>
        <v/>
      </c>
    </row>
    <row r="25">
      <c r="A25" t="inlineStr">
        <is>
          <t>NO3- (meq/L)</t>
        </is>
      </c>
      <c r="B25" s="7" t="inlineStr">
        <is>
          <t>mg/L N / 14,007</t>
        </is>
      </c>
      <c r="C25" s="8">
        <f>C9/14.007</f>
        <v/>
      </c>
      <c r="D25" s="8">
        <f>D9/14.007</f>
        <v/>
      </c>
      <c r="E25" s="8">
        <f>E9/14.007</f>
        <v/>
      </c>
      <c r="F25" s="8">
        <f>F9/14.007</f>
        <v/>
      </c>
      <c r="G25" s="8">
        <f>G9/14.007</f>
        <v/>
      </c>
      <c r="H25" s="8">
        <f>H9/14.007</f>
        <v/>
      </c>
      <c r="I25" s="8">
        <f>I9/14.007</f>
        <v/>
      </c>
      <c r="J25" s="8">
        <f>J9/14.007</f>
        <v/>
      </c>
      <c r="K25" s="8">
        <f>K9/14.007</f>
        <v/>
      </c>
    </row>
    <row r="26">
      <c r="A26" t="inlineStr">
        <is>
          <t>F- (meq/L)</t>
        </is>
      </c>
      <c r="B26" s="7" t="inlineStr">
        <is>
          <t>mg/L / 18,998</t>
        </is>
      </c>
      <c r="C26" s="8">
        <f>C10/18.998</f>
        <v/>
      </c>
      <c r="D26" s="8">
        <f>D10/18.998</f>
        <v/>
      </c>
      <c r="E26" s="8">
        <f>E10/18.998</f>
        <v/>
      </c>
      <c r="F26" s="8">
        <f>F10/18.998</f>
        <v/>
      </c>
      <c r="G26" s="8">
        <f>G10/18.998</f>
        <v/>
      </c>
      <c r="H26" s="8">
        <f>H10/18.998</f>
        <v/>
      </c>
      <c r="I26" s="8">
        <f>I10/18.998</f>
        <v/>
      </c>
      <c r="J26" s="8">
        <f>J10/18.998</f>
        <v/>
      </c>
      <c r="K26" s="8">
        <f>K10/18.998</f>
        <v/>
      </c>
    </row>
    <row r="27">
      <c r="A27" t="inlineStr">
        <is>
          <t>Σ cationes medidos (meq/L)</t>
        </is>
      </c>
      <c r="B27" s="7" t="inlineStr">
        <is>
          <t>Ca + Mg (faltan Na y K)</t>
        </is>
      </c>
      <c r="C27" s="8">
        <f>C19+C20</f>
        <v/>
      </c>
      <c r="D27" s="8">
        <f>D19+D20</f>
        <v/>
      </c>
      <c r="E27" s="8">
        <f>E19+E20</f>
        <v/>
      </c>
      <c r="F27" s="8">
        <f>F19+F20</f>
        <v/>
      </c>
      <c r="G27" s="8">
        <f>G19+G20</f>
        <v/>
      </c>
      <c r="H27" s="8">
        <f>H19+H20</f>
        <v/>
      </c>
      <c r="I27" s="8">
        <f>I19+I20</f>
        <v/>
      </c>
      <c r="J27" s="8">
        <f>J19+J20</f>
        <v/>
      </c>
      <c r="K27" s="8">
        <f>K19+K20</f>
        <v/>
      </c>
    </row>
    <row r="28">
      <c r="A28" t="inlineStr">
        <is>
          <t>Σ aniones (meq/L)</t>
        </is>
      </c>
      <c r="B28" s="7" t="inlineStr">
        <is>
          <t>HCO3 + CO3 + Cl + SO4 + NO3 + F</t>
        </is>
      </c>
      <c r="C28" s="8">
        <f>C21+C22+C23+C24+C25+C26</f>
        <v/>
      </c>
      <c r="D28" s="8">
        <f>D21+D22+D23+D24+D25+D26</f>
        <v/>
      </c>
      <c r="E28" s="8">
        <f>E21+E22+E23+E24+E25+E26</f>
        <v/>
      </c>
      <c r="F28" s="8">
        <f>F21+F22+F23+F24+F25+F26</f>
        <v/>
      </c>
      <c r="G28" s="8">
        <f>G21+G22+G23+G24+G25+G26</f>
        <v/>
      </c>
      <c r="H28" s="8">
        <f>H21+H22+H23+H24+H25+H26</f>
        <v/>
      </c>
      <c r="I28" s="8">
        <f>I21+I22+I23+I24+I25+I26</f>
        <v/>
      </c>
      <c r="J28" s="8">
        <f>J21+J22+J23+J24+J25+J26</f>
        <v/>
      </c>
      <c r="K28" s="8">
        <f>K21+K22+K23+K24+K25+K26</f>
        <v/>
      </c>
    </row>
    <row r="29">
      <c r="A29" t="inlineStr">
        <is>
          <t>Error de balance (%)</t>
        </is>
      </c>
      <c r="B29" s="7" t="inlineStr">
        <is>
          <t>100 (Σcat − Σan)/(Σcat + Σan)</t>
        </is>
      </c>
      <c r="C29" s="8">
        <f>100*(C27-C28)/(C27+C28)</f>
        <v/>
      </c>
      <c r="D29" s="8">
        <f>100*(D27-D28)/(D27+D28)</f>
        <v/>
      </c>
      <c r="E29" s="8">
        <f>100*(E27-E28)/(E27+E28)</f>
        <v/>
      </c>
      <c r="F29" s="8">
        <f>100*(F27-F28)/(F27+F28)</f>
        <v/>
      </c>
      <c r="G29" s="8">
        <f>100*(G27-G28)/(G27+G28)</f>
        <v/>
      </c>
      <c r="H29" s="8">
        <f>100*(H27-H28)/(H27+H28)</f>
        <v/>
      </c>
      <c r="I29" s="8">
        <f>100*(I27-I28)/(I27+I28)</f>
        <v/>
      </c>
      <c r="J29" s="8">
        <f>100*(J27-J28)/(J27+J28)</f>
        <v/>
      </c>
      <c r="K29" s="8">
        <f>100*(K27-K28)/(K27+K28)</f>
        <v/>
      </c>
    </row>
    <row r="30">
      <c r="A30" t="inlineStr">
        <is>
          <t>Na+ + K+ por diferencia (meq/L)</t>
        </is>
      </c>
      <c r="B30" s="7" t="inlineStr">
        <is>
          <t>máx(Σan − Σcat; 0)</t>
        </is>
      </c>
      <c r="C30" s="8">
        <f>MAX(C28-C27,0)</f>
        <v/>
      </c>
      <c r="D30" s="8">
        <f>MAX(D28-D27,0)</f>
        <v/>
      </c>
      <c r="E30" s="8">
        <f>MAX(E28-E27,0)</f>
        <v/>
      </c>
      <c r="F30" s="8">
        <f>MAX(F28-F27,0)</f>
        <v/>
      </c>
      <c r="G30" s="8">
        <f>MAX(G28-G27,0)</f>
        <v/>
      </c>
      <c r="H30" s="8">
        <f>MAX(H28-H27,0)</f>
        <v/>
      </c>
      <c r="I30" s="8">
        <f>MAX(I28-I27,0)</f>
        <v/>
      </c>
      <c r="J30" s="8">
        <f>MAX(J28-J27,0)</f>
        <v/>
      </c>
      <c r="K30" s="8">
        <f>MAX(K28-K27,0)</f>
        <v/>
      </c>
    </row>
    <row r="31">
      <c r="A31" t="inlineStr">
        <is>
          <t>Na+ por diferencia (mg/L, si todo fuera Na)</t>
        </is>
      </c>
      <c r="B31" s="7" t="inlineStr">
        <is>
          <t>meq × 22,990</t>
        </is>
      </c>
      <c r="C31" s="8">
        <f>C30*22.99</f>
        <v/>
      </c>
      <c r="D31" s="8">
        <f>D30*22.99</f>
        <v/>
      </c>
      <c r="E31" s="8">
        <f>E30*22.99</f>
        <v/>
      </c>
      <c r="F31" s="8">
        <f>F30*22.99</f>
        <v/>
      </c>
      <c r="G31" s="8">
        <f>G30*22.99</f>
        <v/>
      </c>
      <c r="H31" s="8">
        <f>H30*22.99</f>
        <v/>
      </c>
      <c r="I31" s="8">
        <f>I30*22.99</f>
        <v/>
      </c>
      <c r="J31" s="8">
        <f>J30*22.99</f>
        <v/>
      </c>
      <c r="K31" s="8">
        <f>K30*22.99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0" customWidth="1" min="3" max="3"/>
    <col width="46" customWidth="1" min="4" max="4"/>
    <col width="18" customWidth="1" min="5" max="5"/>
    <col width="12" customWidth="1" min="6" max="6"/>
    <col width="12" customWidth="1" min="7" max="7"/>
    <col width="16" customWidth="1" min="8" max="8"/>
  </cols>
  <sheetData>
    <row r="1">
      <c r="A1" s="4" t="inlineStr">
        <is>
          <t>ion</t>
        </is>
      </c>
      <c r="B1" s="4" t="inlineStr">
        <is>
          <t>masa molar (g/mol)</t>
        </is>
      </c>
      <c r="C1" s="4" t="inlineStr">
        <is>
          <t>carga |z|</t>
        </is>
      </c>
      <c r="D1" s="4" t="inlineStr">
        <is>
          <t>peso equivalente (mg/meq)</t>
        </is>
      </c>
      <c r="E1" s="4" t="inlineStr">
        <is>
          <t>valor (mg/L) ENTRADA</t>
        </is>
      </c>
      <c r="F1" s="4" t="inlineStr">
        <is>
          <t>mmol/L</t>
        </is>
      </c>
      <c r="G1" s="4" t="inlineStr">
        <is>
          <t>meq/L</t>
        </is>
      </c>
      <c r="H1" s="4" t="inlineStr">
        <is>
          <t>mg/L como CaCO3</t>
        </is>
      </c>
    </row>
    <row r="2">
      <c r="A2" t="inlineStr">
        <is>
          <t>Ca2+</t>
        </is>
      </c>
      <c r="B2" t="n">
        <v>40.078</v>
      </c>
      <c r="C2" t="n">
        <v>2</v>
      </c>
      <c r="D2">
        <f>B2/C2</f>
        <v/>
      </c>
      <c r="E2" s="9" t="n">
        <v>1</v>
      </c>
      <c r="F2">
        <f>IF(E2="","",E2/B2)</f>
        <v/>
      </c>
      <c r="G2">
        <f>IF(E2="","",F2*C2)</f>
        <v/>
      </c>
      <c r="H2">
        <f>IF(E2="","",G2*50.043)</f>
        <v/>
      </c>
    </row>
    <row r="3">
      <c r="A3" t="inlineStr">
        <is>
          <t>Mg2+</t>
        </is>
      </c>
      <c r="B3" t="n">
        <v>24.305</v>
      </c>
      <c r="C3" t="n">
        <v>2</v>
      </c>
      <c r="D3">
        <f>B3/C3</f>
        <v/>
      </c>
      <c r="E3" s="9" t="n">
        <v>1.7</v>
      </c>
      <c r="F3">
        <f>IF(E3="","",E3/B3)</f>
        <v/>
      </c>
      <c r="G3">
        <f>IF(E3="","",F3*C3)</f>
        <v/>
      </c>
      <c r="H3">
        <f>IF(E3="","",G3*50.043)</f>
        <v/>
      </c>
    </row>
    <row r="4">
      <c r="A4" t="inlineStr">
        <is>
          <t>Na+</t>
        </is>
      </c>
      <c r="B4" t="n">
        <v>22.99</v>
      </c>
      <c r="C4" t="n">
        <v>1</v>
      </c>
      <c r="D4">
        <f>B4/C4</f>
        <v/>
      </c>
      <c r="E4" s="9" t="n"/>
      <c r="F4">
        <f>IF(E4="","",E4/B4)</f>
        <v/>
      </c>
      <c r="G4">
        <f>IF(E4="","",F4*C4)</f>
        <v/>
      </c>
      <c r="H4">
        <f>IF(E4="","",G4*50.043)</f>
        <v/>
      </c>
    </row>
    <row r="5">
      <c r="A5" t="inlineStr">
        <is>
          <t>K+</t>
        </is>
      </c>
      <c r="B5" t="n">
        <v>39.098</v>
      </c>
      <c r="C5" t="n">
        <v>1</v>
      </c>
      <c r="D5">
        <f>B5/C5</f>
        <v/>
      </c>
      <c r="E5" s="9" t="n"/>
      <c r="F5">
        <f>IF(E5="","",E5/B5)</f>
        <v/>
      </c>
      <c r="G5">
        <f>IF(E5="","",F5*C5)</f>
        <v/>
      </c>
      <c r="H5">
        <f>IF(E5="","",G5*50.043)</f>
        <v/>
      </c>
    </row>
    <row r="6">
      <c r="A6" t="inlineStr">
        <is>
          <t>HCO3-</t>
        </is>
      </c>
      <c r="B6" t="n">
        <v>61.016</v>
      </c>
      <c r="C6" t="n">
        <v>1</v>
      </c>
      <c r="D6">
        <f>B6/C6</f>
        <v/>
      </c>
      <c r="E6" s="9" t="n">
        <v>24.4</v>
      </c>
      <c r="F6">
        <f>IF(E6="","",E6/B6)</f>
        <v/>
      </c>
      <c r="G6">
        <f>IF(E6="","",F6*C6)</f>
        <v/>
      </c>
      <c r="H6">
        <f>IF(E6="","",G6*50.043)</f>
        <v/>
      </c>
    </row>
    <row r="7">
      <c r="A7" t="inlineStr">
        <is>
          <t>CO3 2-</t>
        </is>
      </c>
      <c r="B7" t="n">
        <v>60.008</v>
      </c>
      <c r="C7" t="n">
        <v>2</v>
      </c>
      <c r="D7">
        <f>B7/C7</f>
        <v/>
      </c>
      <c r="E7" s="9" t="n">
        <v>0</v>
      </c>
      <c r="F7">
        <f>IF(E7="","",E7/B7)</f>
        <v/>
      </c>
      <c r="G7">
        <f>IF(E7="","",F7*C7)</f>
        <v/>
      </c>
      <c r="H7">
        <f>IF(E7="","",G7*50.043)</f>
        <v/>
      </c>
    </row>
    <row r="8">
      <c r="A8" t="inlineStr">
        <is>
          <t>Cl-</t>
        </is>
      </c>
      <c r="B8" t="n">
        <v>35.453</v>
      </c>
      <c r="C8" t="n">
        <v>1</v>
      </c>
      <c r="D8">
        <f>B8/C8</f>
        <v/>
      </c>
      <c r="E8" s="9" t="n">
        <v>0.8</v>
      </c>
      <c r="F8">
        <f>IF(E8="","",E8/B8)</f>
        <v/>
      </c>
      <c r="G8">
        <f>IF(E8="","",F8*C8)</f>
        <v/>
      </c>
      <c r="H8">
        <f>IF(E8="","",G8*50.043)</f>
        <v/>
      </c>
    </row>
    <row r="9">
      <c r="A9" t="inlineStr">
        <is>
          <t>SO4 2-</t>
        </is>
      </c>
      <c r="B9" t="n">
        <v>96.06</v>
      </c>
      <c r="C9" t="n">
        <v>2</v>
      </c>
      <c r="D9">
        <f>B9/C9</f>
        <v/>
      </c>
      <c r="E9" s="9" t="n">
        <v>0.8</v>
      </c>
      <c r="F9">
        <f>IF(E9="","",E9/B9)</f>
        <v/>
      </c>
      <c r="G9">
        <f>IF(E9="","",F9*C9)</f>
        <v/>
      </c>
      <c r="H9">
        <f>IF(E9="","",G9*50.043)</f>
        <v/>
      </c>
    </row>
    <row r="10">
      <c r="A10" t="inlineStr">
        <is>
          <t>NO3-</t>
        </is>
      </c>
      <c r="B10" t="n">
        <v>62.004</v>
      </c>
      <c r="C10" t="n">
        <v>1</v>
      </c>
      <c r="D10">
        <f>B10/C10</f>
        <v/>
      </c>
      <c r="E10" s="9" t="n">
        <v>5.75</v>
      </c>
      <c r="F10">
        <f>IF(E10="","",E10/B10)</f>
        <v/>
      </c>
      <c r="G10">
        <f>IF(E10="","",F10*C10)</f>
        <v/>
      </c>
      <c r="H10">
        <f>IF(E10="","",G10*50.043)</f>
        <v/>
      </c>
    </row>
    <row r="11">
      <c r="A11" t="inlineStr">
        <is>
          <t>NO2-</t>
        </is>
      </c>
      <c r="B11" t="n">
        <v>46.005</v>
      </c>
      <c r="C11" t="n">
        <v>1</v>
      </c>
      <c r="D11">
        <f>B11/C11</f>
        <v/>
      </c>
      <c r="E11" s="9" t="n"/>
      <c r="F11">
        <f>IF(E11="","",E11/B11)</f>
        <v/>
      </c>
      <c r="G11">
        <f>IF(E11="","",F11*C11)</f>
        <v/>
      </c>
      <c r="H11">
        <f>IF(E11="","",G11*50.043)</f>
        <v/>
      </c>
    </row>
    <row r="12">
      <c r="A12" t="inlineStr">
        <is>
          <t>F-</t>
        </is>
      </c>
      <c r="B12" t="n">
        <v>18.998</v>
      </c>
      <c r="C12" t="n">
        <v>1</v>
      </c>
      <c r="D12">
        <f>B12/C12</f>
        <v/>
      </c>
      <c r="E12" s="9" t="n">
        <v>0.03</v>
      </c>
      <c r="F12">
        <f>IF(E12="","",E12/B12)</f>
        <v/>
      </c>
      <c r="G12">
        <f>IF(E12="","",F12*C12)</f>
        <v/>
      </c>
      <c r="H12">
        <f>IF(E12="","",G12*50.043)</f>
        <v/>
      </c>
    </row>
    <row r="13">
      <c r="A13" t="inlineStr">
        <is>
          <t>PO4 3-</t>
        </is>
      </c>
      <c r="B13" t="n">
        <v>94.971</v>
      </c>
      <c r="C13" t="n">
        <v>3</v>
      </c>
      <c r="D13">
        <f>B13/C13</f>
        <v/>
      </c>
      <c r="E13" s="9" t="n"/>
      <c r="F13">
        <f>IF(E13="","",E13/B13)</f>
        <v/>
      </c>
      <c r="G13">
        <f>IF(E13="","",F13*C13)</f>
        <v/>
      </c>
      <c r="H13">
        <f>IF(E13="","",G13*50.043)</f>
        <v/>
      </c>
    </row>
    <row r="15">
      <c r="A15" s="7" t="inlineStr">
        <is>
          <t>Ejemplo precargado: informe 39915 (Mg desde dureza magnésica 7 mg/L CaCO3; NO3 = 1,3 mg/L N × 4,4266).</t>
        </is>
      </c>
    </row>
    <row r="16">
      <c r="A16" s="4" t="inlineStr">
        <is>
          <t>conversión</t>
        </is>
      </c>
      <c r="B16" s="4" t="inlineStr">
        <is>
          <t>valor ENTRADA</t>
        </is>
      </c>
      <c r="C16" s="4" t="inlineStr">
        <is>
          <t>resultado</t>
        </is>
      </c>
      <c r="D16" s="4" t="inlineStr">
        <is>
          <t>factor / nota</t>
        </is>
      </c>
    </row>
    <row r="17">
      <c r="A17" t="inlineStr">
        <is>
          <t>Nitrato: mg/L N-NO3 → mg/L NO3-</t>
        </is>
      </c>
      <c r="B17" s="9" t="n">
        <v>1.3</v>
      </c>
      <c r="C17">
        <f>B17*62.004/14.007</f>
        <v/>
      </c>
      <c r="D17" t="inlineStr">
        <is>
          <t>× 4,4266</t>
        </is>
      </c>
    </row>
    <row r="18">
      <c r="A18" t="inlineStr">
        <is>
          <t>Nitrato: mg/L NO3- → mg/L N-NO3</t>
        </is>
      </c>
      <c r="B18" s="9" t="n">
        <v>10</v>
      </c>
      <c r="C18">
        <f>B18*14.007/62.004</f>
        <v/>
      </c>
      <c r="D18" t="inlineStr">
        <is>
          <t>× 0,2259 (10 mg/L NO3- = 2,26 mg/L N)</t>
        </is>
      </c>
    </row>
    <row r="19">
      <c r="A19" t="inlineStr">
        <is>
          <t>Nitrito: mg/L N-NO2 → mg/L NO2-</t>
        </is>
      </c>
      <c r="B19" s="9" t="n">
        <v>0.1</v>
      </c>
      <c r="C19">
        <f>B19*46.005/14.007</f>
        <v/>
      </c>
      <c r="D19" t="inlineStr">
        <is>
          <t>× 3,2845</t>
        </is>
      </c>
    </row>
    <row r="20">
      <c r="A20" t="inlineStr">
        <is>
          <t>Alcalinidad mg/L CaCO3 → HCO3- mg/L (pH &lt; 8,3)</t>
        </is>
      </c>
      <c r="B20" s="9" t="n">
        <v>20</v>
      </c>
      <c r="C20">
        <f>B20*61.016/50.043</f>
        <v/>
      </c>
      <c r="D20" t="inlineStr">
        <is>
          <t>× 1,2193</t>
        </is>
      </c>
    </row>
    <row r="21">
      <c r="A21" t="inlineStr">
        <is>
          <t>Alcalinidad mg/L CaCO3 → meq/L</t>
        </is>
      </c>
      <c r="B21" s="9" t="n">
        <v>20</v>
      </c>
      <c r="C21">
        <f>B21/50.043</f>
        <v/>
      </c>
      <c r="D21" t="inlineStr">
        <is>
          <t>÷ 50,043</t>
        </is>
      </c>
    </row>
    <row r="22">
      <c r="A22" t="inlineStr">
        <is>
          <t>Dureza cálcica mg/L CaCO3 → Ca mg/L</t>
        </is>
      </c>
      <c r="B22" s="9" t="n">
        <v>5</v>
      </c>
      <c r="C22">
        <f>B22*40.078/100.086</f>
        <v/>
      </c>
      <c r="D22" t="inlineStr">
        <is>
          <t>× 0,4004</t>
        </is>
      </c>
    </row>
    <row r="23">
      <c r="A23" t="inlineStr">
        <is>
          <t>Dureza magnésica mg/L CaCO3 → Mg mg/L</t>
        </is>
      </c>
      <c r="B23" s="9" t="n">
        <v>7</v>
      </c>
      <c r="C23">
        <f>B23*24.305/100.086</f>
        <v/>
      </c>
      <c r="D23" t="inlineStr">
        <is>
          <t>× 0,2428</t>
        </is>
      </c>
    </row>
    <row r="24">
      <c r="A24" t="inlineStr">
        <is>
          <t>Ca mg/L → dureza mg/L CaCO3</t>
        </is>
      </c>
      <c r="B24" s="9" t="n">
        <v>2</v>
      </c>
      <c r="C24">
        <f>B24*100.086/40.078</f>
        <v/>
      </c>
      <c r="D24" t="inlineStr">
        <is>
          <t>× 2,497</t>
        </is>
      </c>
    </row>
    <row r="25">
      <c r="A25" t="inlineStr">
        <is>
          <t>Mg mg/L → dureza mg/L CaCO3</t>
        </is>
      </c>
      <c r="B25" s="9" t="n">
        <v>2</v>
      </c>
      <c r="C25">
        <f>B25*100.086/24.305</f>
        <v/>
      </c>
      <c r="D25" t="inlineStr">
        <is>
          <t>× 4,118</t>
        </is>
      </c>
    </row>
    <row r="26">
      <c r="A26" t="inlineStr">
        <is>
          <t>CE µS/cm → mS/m</t>
        </is>
      </c>
      <c r="B26" s="9" t="n">
        <v>38.2</v>
      </c>
      <c r="C26">
        <f>B26/10</f>
        <v/>
      </c>
      <c r="D26" t="inlineStr">
        <is>
          <t>÷ 10</t>
        </is>
      </c>
    </row>
    <row r="27">
      <c r="A27" t="inlineStr">
        <is>
          <t>CE µS/cm → dS/m (= mS/cm)</t>
        </is>
      </c>
      <c r="B27" s="9" t="n">
        <v>38.2</v>
      </c>
      <c r="C27">
        <f>B27/1000</f>
        <v/>
      </c>
      <c r="D27" t="inlineStr">
        <is>
          <t>÷ 1000</t>
        </is>
      </c>
    </row>
    <row r="28">
      <c r="A28" t="inlineStr">
        <is>
          <t>CE µS/cm → SDT aprox. (mg/L), k = 0,65</t>
        </is>
      </c>
      <c r="B28" s="9" t="n">
        <v>38.2</v>
      </c>
      <c r="C28">
        <f>B28*0.65</f>
        <v/>
      </c>
      <c r="D28" t="inlineStr">
        <is>
          <t>k entre 0,55 y 0,75 (Hem, 1985); solo orientativo</t>
        </is>
      </c>
    </row>
    <row r="29">
      <c r="A29" t="inlineStr">
        <is>
          <t>Σ cationes meq/L → CE aprox. (µS/cm)</t>
        </is>
      </c>
      <c r="B29" s="9" t="n">
        <v>0.4</v>
      </c>
      <c r="C29">
        <f>B29*100</f>
        <v/>
      </c>
      <c r="D29" t="inlineStr">
        <is>
          <t>regla de Hem: CE ≈ 100 × meq/L (aguas diluidas)</t>
        </is>
      </c>
    </row>
    <row r="30">
      <c r="A30" t="inlineStr">
        <is>
          <t>pH → [H+] mol/L</t>
        </is>
      </c>
      <c r="B30" s="9" t="n">
        <v>5.5</v>
      </c>
      <c r="C30">
        <f>10^(-B30)</f>
        <v/>
      </c>
      <c r="D30" t="inlineStr"/>
    </row>
    <row r="31">
      <c r="A31" t="inlineStr">
        <is>
          <t>Coliformes "5,8 x 10^2" → número</t>
        </is>
      </c>
      <c r="B31" s="9" t="n">
        <v>5.8</v>
      </c>
      <c r="C31">
        <f>B31*10^2</f>
        <v/>
      </c>
      <c r="D31" t="inlineStr">
        <is>
          <t>NMP/100 mL; 100 mL = 100 cm3</t>
        </is>
      </c>
    </row>
    <row r="33">
      <c r="A33" s="7" t="inlineStr">
        <is>
          <t>Unidades sin conversión numérica: UNT = NTU (turbiedad nefelométrica); UPC = unidades Pt-Co = unidades Hazen (color); NMP/100 mL (tubos múltiples) no es lo mismo que UFC/100 mL (filtración por membrana), aunque ambas se expresan por 100 mL.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60" customWidth="1" min="3" max="3"/>
    <col width="50" customWidth="1" min="4" max="4"/>
    <col width="60" customWidth="1" min="5" max="5"/>
  </cols>
  <sheetData>
    <row r="1">
      <c r="A1" s="4" t="inlineStr">
        <is>
          <t>sede</t>
        </is>
      </c>
      <c r="B1" s="4" t="inlineStr">
        <is>
          <t>datos fisicoquímicos tabulados en el repo SIAMS</t>
        </is>
      </c>
      <c r="C1" s="4" t="inlineStr">
        <is>
          <t>otros insumos relacionados</t>
        </is>
      </c>
      <c r="D1" s="4" t="inlineStr">
        <is>
          <t>fuente</t>
        </is>
      </c>
      <c r="E1" s="4" t="inlineStr">
        <is>
          <t>estado en app.py (ESTADO_COMPONENTES)</t>
        </is>
      </c>
    </row>
    <row r="2">
      <c r="A2" s="10" t="inlineStr">
        <is>
          <t>Leticia</t>
        </is>
      </c>
      <c r="B2" s="10" t="inlineStr">
        <is>
          <t>No (solo en esta base, desde los PDF del LIA y la hoja del semillero)</t>
        </is>
      </c>
      <c r="C2" s="10" t="inlineStr">
        <is>
          <t>Imagen de un visor de pozos e IRCA (SENA, Semillero Amazonas Verde); retirada de la versión corregida por privacidad (CARE, Ley 1581/2012). No contiene tabla de resultados.</t>
        </is>
      </c>
      <c r="D2" s="10" t="inlineStr">
        <is>
          <t>revision_siams/repo/SIAMS MAPAS/mapa_pozos_irca_leticia.png; app.py mostrar_aviso_pozos_privacidad</t>
        </is>
      </c>
      <c r="E2" s="10" t="inlineStr">
        <is>
          <t>IRCA: Pendiente. Hidrogeoquímica: Pendiente ("No hay una base completa con coordenadas, unidades e iones mayoritarios")</t>
        </is>
      </c>
    </row>
    <row r="3">
      <c r="A3" s="10" t="inlineStr">
        <is>
          <t>San Andrés</t>
        </is>
      </c>
      <c r="B3" s="10" t="inlineStr">
        <is>
          <t>No</t>
        </is>
      </c>
      <c r="C3" s="10" t="inlineStr">
        <is>
          <t>Imagen: mapa de concentraciones de nitratos en aguas subterráneas (CORALINA, figura 9 del documento consultado). Solo imagen, sin valores tabulados ni unidades legibles como dato.</t>
        </is>
      </c>
      <c r="D3" s="10" t="inlineStr">
        <is>
          <t>SIAMS MAPAS/mapa_nitratos_aguas_subterraneas_san_andres.png</t>
        </is>
      </c>
      <c r="E3" s="10" t="inlineStr">
        <is>
          <t>IRCA: Pendiente. Hidrogeoquímica: En proceso (mapa de nitratos como antecedente)</t>
        </is>
      </c>
    </row>
    <row r="4">
      <c r="A4" s="10" t="inlineStr">
        <is>
          <t>Arauca</t>
        </is>
      </c>
      <c r="B4" s="10" t="inlineStr">
        <is>
          <t>No</t>
        </is>
      </c>
      <c r="C4" s="10" t="inlineStr">
        <is>
          <t>Hidrometeorología (NASA POWER, IDEAM) en "Analisis Hidro"; sin calidad del agua</t>
        </is>
      </c>
      <c r="D4" s="10" t="inlineStr">
        <is>
          <t>Analisis Hidro/*.xlsx</t>
        </is>
      </c>
      <c r="E4" s="10" t="inlineStr">
        <is>
          <t>IRCA y Hidrogeoquímica: Pendiente</t>
        </is>
      </c>
    </row>
    <row r="5">
      <c r="A5" s="10" t="inlineStr">
        <is>
          <t>Bogotá</t>
        </is>
      </c>
      <c r="B5" s="10" t="inlineStr">
        <is>
          <t>No</t>
        </is>
      </c>
      <c r="C5" s="10" t="inlineStr">
        <is>
          <t>—</t>
        </is>
      </c>
      <c r="D5" s="10" t="inlineStr">
        <is>
          <t>—</t>
        </is>
      </c>
      <c r="E5" s="10" t="inlineStr">
        <is>
          <t>IRCA y Hidrogeoquímica: Pendiente ("Componente por desarrollar")</t>
        </is>
      </c>
    </row>
    <row r="6">
      <c r="A6" s="10" t="inlineStr">
        <is>
          <t>La Paz</t>
        </is>
      </c>
      <c r="B6" s="10" t="inlineStr">
        <is>
          <t>No</t>
        </is>
      </c>
      <c r="C6" s="10" t="inlineStr">
        <is>
          <t>Hidrometeorología (NASA POWER)</t>
        </is>
      </c>
      <c r="D6" s="10" t="inlineStr">
        <is>
          <t>Analisis Hidro/NASA_POWER_LAPAZ_FINAL.xlsx</t>
        </is>
      </c>
      <c r="E6" s="10" t="inlineStr">
        <is>
          <t>IRCA y Hidrogeoquímica: Pendiente</t>
        </is>
      </c>
    </row>
    <row r="7">
      <c r="A7" s="10" t="inlineStr">
        <is>
          <t>Medellín</t>
        </is>
      </c>
      <c r="B7" s="10" t="inlineStr">
        <is>
          <t>No</t>
        </is>
      </c>
      <c r="C7" s="10" t="inlineStr">
        <is>
          <t>Hidrometeorología (NASA POWER)</t>
        </is>
      </c>
      <c r="D7" s="10" t="inlineStr">
        <is>
          <t>Analisis Hidro/NASA_POWER_MEDELLÍN_FINAL.xlsx</t>
        </is>
      </c>
      <c r="E7" s="10" t="inlineStr">
        <is>
          <t>IRCA y Hidrogeoquímica: Pendiente</t>
        </is>
      </c>
    </row>
    <row r="8">
      <c r="A8" s="10" t="inlineStr">
        <is>
          <t>Tumaco</t>
        </is>
      </c>
      <c r="B8" s="10" t="inlineStr">
        <is>
          <t>No</t>
        </is>
      </c>
      <c r="C8" s="10" t="inlineStr">
        <is>
          <t>Hidrometeorología (NASA POWER, IDEAM)</t>
        </is>
      </c>
      <c r="D8" s="10" t="inlineStr">
        <is>
          <t>Analisis Hidro/*Tumaco*.xlsx</t>
        </is>
      </c>
      <c r="E8" s="10" t="inlineStr">
        <is>
          <t>IRCA y Hidrogeoquímica: Pendiente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8" customWidth="1" min="4" max="4"/>
    <col width="80" customWidth="1" min="5" max="5"/>
  </cols>
  <sheetData>
    <row r="1">
      <c r="A1" s="4" t="inlineStr">
        <is>
          <t>informe</t>
        </is>
      </c>
      <c r="B1" s="4" t="inlineStr">
        <is>
          <t>parámetro</t>
        </is>
      </c>
      <c r="C1" s="4" t="inlineStr">
        <is>
          <t>PDF (original)</t>
        </is>
      </c>
      <c r="D1" s="4" t="inlineStr">
        <is>
          <t>hoja del semillero</t>
        </is>
      </c>
      <c r="E1" s="4" t="inlineStr">
        <is>
          <t>comentario</t>
        </is>
      </c>
    </row>
    <row r="2">
      <c r="A2" t="inlineStr">
        <is>
          <t>39915</t>
        </is>
      </c>
      <c r="B2" t="inlineStr">
        <is>
          <t>fluoruros</t>
        </is>
      </c>
      <c r="C2" t="inlineStr">
        <is>
          <t>0,03</t>
        </is>
      </c>
      <c r="D2" t="inlineStr">
        <is>
          <t>0,3</t>
        </is>
      </c>
      <c r="E2" t="inlineStr">
        <is>
          <t>Error de transcripción (factor 10)</t>
        </is>
      </c>
    </row>
    <row r="3">
      <c r="A3" t="inlineStr">
        <is>
          <t>39917</t>
        </is>
      </c>
      <c r="B3" t="inlineStr">
        <is>
          <t>cot</t>
        </is>
      </c>
      <c r="C3" t="inlineStr">
        <is>
          <t>&lt;1,0</t>
        </is>
      </c>
      <c r="D3" t="inlineStr">
        <is>
          <t>0,05</t>
        </is>
      </c>
      <c r="E3" t="inlineStr">
        <is>
          <t>Debería ser &lt;1,0 (o 0,5 si se usa LD/2)</t>
        </is>
      </c>
    </row>
    <row r="4">
      <c r="A4" t="inlineStr">
        <is>
          <t>40015</t>
        </is>
      </c>
      <c r="B4" t="inlineStr">
        <is>
          <t>dureza_calcica</t>
        </is>
      </c>
      <c r="C4" t="inlineStr">
        <is>
          <t>5</t>
        </is>
      </c>
      <c r="D4" t="inlineStr">
        <is>
          <t>2,5</t>
        </is>
      </c>
      <c r="E4" t="inlineStr">
        <is>
          <t>El PDF da 5 (no "&lt;5")</t>
        </is>
      </c>
    </row>
    <row r="5">
      <c r="A5" t="inlineStr">
        <is>
          <t>40015</t>
        </is>
      </c>
      <c r="B5" t="inlineStr">
        <is>
          <t>hierro</t>
        </is>
      </c>
      <c r="C5" t="inlineStr">
        <is>
          <t>&lt;0,1</t>
        </is>
      </c>
      <c r="D5" t="inlineStr">
        <is>
          <t>0,1</t>
        </is>
      </c>
      <c r="E5" t="inlineStr">
        <is>
          <t>Se perdió el signo "&lt;"</t>
        </is>
      </c>
    </row>
    <row r="6">
      <c r="A6" t="inlineStr">
        <is>
          <t>40015</t>
        </is>
      </c>
      <c r="B6" t="inlineStr">
        <is>
          <t>manganeso</t>
        </is>
      </c>
      <c r="C6" t="inlineStr">
        <is>
          <t>&lt;0,05</t>
        </is>
      </c>
      <c r="D6" t="inlineStr">
        <is>
          <t>0,05</t>
        </is>
      </c>
      <c r="E6" t="inlineStr">
        <is>
          <t>Se perdió el signo "&lt;"</t>
        </is>
      </c>
    </row>
    <row r="7">
      <c r="A7" t="inlineStr">
        <is>
          <t>40015</t>
        </is>
      </c>
      <c r="B7" t="inlineStr">
        <is>
          <t>nombre del punto</t>
        </is>
      </c>
      <c r="C7" t="inlineStr">
        <is>
          <t>UN-LE-025, pozo Universidad Nacional Amazonia</t>
        </is>
      </c>
      <c r="D7" t="inlineStr">
        <is>
          <t>Numae</t>
        </is>
      </c>
      <c r="E7" t="inlineStr">
        <is>
          <t>La química de 40015 se parece a UN-LE-025 (pozo UN), no a NUMAE</t>
        </is>
      </c>
    </row>
    <row r="8">
      <c r="A8" t="inlineStr">
        <is>
          <t>40017</t>
        </is>
      </c>
      <c r="B8" t="inlineStr">
        <is>
          <t>nombre del punto</t>
        </is>
      </c>
      <c r="C8" t="inlineStr">
        <is>
          <t>UN-LE-037, pozo Universidad Nacional Amazonia</t>
        </is>
      </c>
      <c r="D8" t="inlineStr">
        <is>
          <t>UNAL</t>
        </is>
      </c>
      <c r="E8" t="inlineStr">
        <is>
          <t>La química de 40017 (Cl-, NO3, CE) se parece a NUMAE (UN-LE-027)</t>
        </is>
      </c>
    </row>
    <row r="9">
      <c r="A9" t="inlineStr">
        <is>
          <t>todos</t>
        </is>
      </c>
      <c r="B9" t="inlineStr">
        <is>
          <t>nitratos</t>
        </is>
      </c>
      <c r="C9" t="inlineStr">
        <is>
          <t>mg/L N-NO3</t>
        </is>
      </c>
      <c r="D9" t="inlineStr">
        <is>
          <t>×4,4286 → NO3</t>
        </is>
      </c>
      <c r="E9" t="inlineStr">
        <is>
          <t>La hoja convirtió a NO3 con 62/14. Ver advertencia: la CE sugiere que el valor ya podría estar como NO3-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2026-10-15T00:05:51Z</dcterms:created>
  <dcterms:modified xmlns:dcterms="http://purl.org/dc/terms/" xmlns:xsi="http://www.w3.org/2001/XMLSchema-instance" xsi:type="dcterms:W3CDTF">2026-10-15T00:05:52Z</dcterms:modified>
</cp:coreProperties>
</file>