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6a436cad3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A1" sheetId="1" r:id="R87a9be87e71c46a3"/>
    <x:sheet xmlns:r="http://schemas.openxmlformats.org/officeDocument/2006/relationships" name="SNHT y sensibilidad" sheetId="2" r:id="Red64c83afa20481b"/>
    <x:sheet xmlns:r="http://schemas.openxmlformats.org/officeDocument/2006/relationships" name="Pareado mensual" sheetId="3" r:id="Re50829a2a8384939"/>
    <x:sheet xmlns:r="http://schemas.openxmlformats.org/officeDocument/2006/relationships" name="Resumen anual" sheetId="4" r:id="R3b5108ba59b1455d"/>
    <x:sheet xmlns:r="http://schemas.openxmlformats.org/officeDocument/2006/relationships" name="Cobertura Granja" sheetId="5" r:id="Rd0cfe439f70840c5"/>
    <x:sheet xmlns:r="http://schemas.openxmlformats.org/officeDocument/2006/relationships" name="Fuentes y criterios" sheetId="6" r:id="Rf44b44343709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.0"/>
    <x:numFmt numFmtId="203" formatCode="0.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2943"/>
      <x:name val="Carlito"/>
    </x:font>
    <x:font>
      <x:b/>
      <x:sz val="11"/>
      <x:color rgb="FFFFFFFF"/>
      <x:name val="Carlito"/>
    </x:font>
    <x:font>
      <x:b/>
      <x:sz val="11"/>
      <x:color rgb="FFAA5C14"/>
      <x:name val="Carlito"/>
    </x:font>
    <x:font>
      <x:sz val="10"/>
      <x:color rgb="FF2534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2943"/>
      </x:patternFill>
    </x:fill>
    <x:fill>
      <x:patternFill patternType="solid">
        <x:fgColor rgb="FF087F8C"/>
      </x:patternFill>
    </x:fill>
    <x:fill>
      <x:patternFill patternType="solid">
        <x:fgColor rgb="FFEDF7F8"/>
      </x:patternFill>
    </x:fill>
    <x:fill>
      <x:patternFill patternType="solid">
        <x:fgColor rgb="FFFFF5E7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9f574f23b4839" /><Relationship Type="http://schemas.openxmlformats.org/officeDocument/2006/relationships/theme" Target="/xl/theme/theme1.xml" Id="R3b93dd6d73ae4a1a" /><Relationship Type="http://schemas.openxmlformats.org/officeDocument/2006/relationships/sharedStrings" Target="/xl/sharedStrings.xml" Id="Re7ee3cd633384e83" /><Relationship Type="http://schemas.openxmlformats.org/officeDocument/2006/relationships/worksheet" Target="/xl/worksheets/sheet1.xml" Id="R87a9be87e71c46a3" /><Relationship Type="http://schemas.openxmlformats.org/officeDocument/2006/relationships/worksheet" Target="/xl/worksheets/sheet2.xml" Id="Red64c83afa20481b" /><Relationship Type="http://schemas.openxmlformats.org/officeDocument/2006/relationships/worksheet" Target="/xl/worksheets/sheet3.xml" Id="Re50829a2a8384939" /><Relationship Type="http://schemas.openxmlformats.org/officeDocument/2006/relationships/worksheet" Target="/xl/worksheets/sheet4.xml" Id="R3b5108ba59b1455d" /><Relationship Type="http://schemas.openxmlformats.org/officeDocument/2006/relationships/worksheet" Target="/xl/worksheets/sheet5.xml" Id="Rd0cfe439f70840c5" /><Relationship Type="http://schemas.openxmlformats.org/officeDocument/2006/relationships/worksheet" Target="/xl/worksheets/sheet6.xml" Id="Rf44b443437094f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4775a093624e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Lluvia media de los meses comparables · Tumaco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Meses comparables</c:v>
          </c:tx>
          <c:marker>
            <c:symbol val="none"/>
          </c:marker>
          <c:cat>
            <c:strRef>
              <c:f>'Resumen anual'!$A$6:$A$46</c:f>
              <c:strCache>
                <c:ptCount val="0"/>
              </c:strCache>
            </c:strRef>
          </c:cat>
          <c:val>
            <c:numRef>
              <c:f>'Resumen anual'!$B$6:$B$46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COCO (mm/mes)</c:v>
          </c:tx>
          <c:marker>
            <c:symbol val="none"/>
          </c:marker>
          <c:cat>
            <c:strRef>
              <c:f>'Resumen anual'!$A$6:$A$46</c:f>
              <c:strCache>
                <c:ptCount val="0"/>
              </c:strCache>
            </c:strRef>
          </c:cat>
          <c:val>
            <c:numRef>
              <c:f>'Resumen anual'!$C$6:$C$46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Granja (mm/mes)</c:v>
          </c:tx>
          <c:marker>
            <c:symbol val="none"/>
          </c:marker>
          <c:cat>
            <c:strRef>
              <c:f>'Resumen anual'!$A$6:$A$46</c:f>
              <c:strCache>
                <c:ptCount val="0"/>
              </c:strCache>
            </c:strRef>
          </c:cat>
          <c:val>
            <c:numRef>
              <c:f>'Resumen anual'!$D$6:$D$46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4775a093624e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dbb47facc8246d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23" hidden="0" customWidth="1"/>
    <x:col min="5" max="5" width="30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" customHeight="1">
      <x:c r="A1" s="4" t="str">
        <x:v>SIAMS  |  A1  |  Tumaco · Granja El Mira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7" customHeight="1">
      <x:c r="A3" s="8"/>
      <x:c r="B3" s="8"/>
      <x:c r="C3" s="8"/>
      <x:c r="D3" s="8"/>
      <x:c r="E3" s="8"/>
      <x:c r="F3" s="8"/>
      <x:c r="G3" s="8"/>
      <x:c r="H3" s="8"/>
    </x:row>
    <x:row r="5" ht="30" customHeight="1">
      <x:c r="A5" s="38" t="str">
        <x:v>ESTACIÓN PRINCIPAL</x:v>
      </x:c>
      <x:c r="B5" s="38" t="str">
        <x:v>COCO EL [51030020]</x:v>
      </x:c>
      <x:c r="C5" s="38"/>
      <x:c r="D5" s="38" t="str">
        <x:v>REFERENCIA IDEAM</x:v>
      </x:c>
      <x:c r="E5" s="38" t="str">
        <x:v>GRANJA EL MIRA [51025090]</x:v>
      </x:c>
      <x:c r="F5" s="38"/>
      <x:c r="G5" s="38"/>
      <x:c r="H5" s="38"/>
    </x:row>
    <x:row r="7" ht="28" customHeight="1">
      <x:c r="A7" s="11" t="str">
        <x:v>COINCIDENCIA Y CONTROL DE CALIDAD</x:v>
      </x:c>
      <x:c r="B7" s="11"/>
      <x:c r="C7" s="11"/>
      <x:c r="D7" s="11"/>
      <x:c r="E7" s="11"/>
      <x:c r="F7" s="11"/>
      <x:c r="G7" s="11"/>
      <x:c r="H7" s="11"/>
    </x:row>
    <x:row r="9">
      <x:c r="A9" t="str">
        <x:v>Días GranJa únicos</x:v>
      </x:c>
      <x:c r="B9" s="34" t="n">
        <x:v>20023</x:v>
      </x:c>
      <x:c r="C9" t="str">
        <x:v>Meses válidos (≥90%)</x:v>
      </x:c>
      <x:c r="D9" s="34" t="n">
        <x:v>458</x:v>
      </x:c>
    </x:row>
    <x:row r="10">
      <x:c r="A10" t="str">
        <x:v>Días COCO EL</x:v>
      </x:c>
      <x:c r="B10" s="34" t="n">
        <x:v>14634</x:v>
      </x:c>
      <x:c r="C10" t="str">
        <x:v>Meses excluidos por cobertura</x:v>
      </x:c>
      <x:c r="D10" s="34" t="n">
        <x:v>17</x:v>
      </x:c>
    </x:row>
    <x:row r="11">
      <x:c r="A11" t="str">
        <x:v>Fechas duplicadas coincidentes</x:v>
      </x:c>
      <x:c r="B11" s="34" t="n">
        <x:v>2431</x:v>
      </x:c>
      <x:c r="C11" t="str">
        <x:v>Fechas duplicadas discordantes</x:v>
      </x:c>
      <x:c r="D11" s="34" t="n">
        <x:v>0</x:v>
      </x:c>
    </x:row>
    <x:row r="12">
      <x:c r="A12" t="str">
        <x:v>Meses antes de jun-1997</x:v>
      </x:c>
      <x:c r="B12" s="34" t="n">
        <x:v>137</x:v>
      </x:c>
      <x:c r="C12" t="str">
        <x:v>Meses desde jun-1997</x:v>
      </x:c>
      <x:c r="D12" s="34" t="n">
        <x:v>321</x:v>
      </x:c>
    </x:row>
    <x:row r="13">
      <x:c r="A13" t="str">
        <x:v>Pearson mensual</x:v>
      </x:c>
      <x:c r="B13" s="34" t="n">
        <x:v>0.70135</x:v>
      </x:c>
      <x:c r="C13" t="str">
        <x:v>Pearson sin estacionalidad</x:v>
      </x:c>
      <x:c r="D13" s="34" t="n">
        <x:v>0.56403</x:v>
      </x:c>
    </x:row>
    <x:row r="15" ht="28" customHeight="1">
      <x:c r="A15" s="11" t="str">
        <x:v>PRUEBAS DE HOMOGENEIDAD  ·  valores p por permutación de bloques anuales</x:v>
      </x:c>
      <x:c r="B15" s="11"/>
      <x:c r="C15" s="11"/>
      <x:c r="D15" s="11"/>
      <x:c r="E15" s="11"/>
      <x:c r="F15" s="11"/>
      <x:c r="G15" s="11"/>
      <x:c r="H15" s="11"/>
    </x:row>
    <x:row r="17" ht="30" customHeight="1">
      <x:c r="A17" s="15" t="str">
        <x:v>Análisis</x:v>
      </x:c>
      <x:c r="B17" s="15" t="str">
        <x:v>Corte de máxima señal</x:v>
      </x:c>
      <x:c r="C17" s="15" t="str">
        <x:v>T SNHT</x:v>
      </x:c>
      <x:c r="D17" s="15" t="str">
        <x:v>p empírico</x:v>
      </x:c>
      <x:c r="E17" s="15" t="str">
        <x:v>Lectura</x:v>
      </x:c>
    </x:row>
    <x:row r="18">
      <x:c r="A18" t="str">
        <x:v>COCO EL · absoluto</x:v>
      </x:c>
      <x:c r="B18" t="str">
        <x:v>1997-06</x:v>
      </x:c>
      <x:c r="C18" t="n">
        <x:v>63.08324</x:v>
      </x:c>
      <x:c r="D18" s="36" t="n">
        <x:v>0.001</x:v>
      </x:c>
      <x:c r="E18" t="str">
        <x:v>Ruptura significativa</x:v>
      </x:c>
    </x:row>
    <x:row r="19">
      <x:c r="A19" t="str">
        <x:v>Granja · absoluto</x:v>
      </x:c>
      <x:c r="B19" t="str">
        <x:v>2013-12</x:v>
      </x:c>
      <x:c r="C19" t="n">
        <x:v>11.58752</x:v>
      </x:c>
      <x:c r="D19" s="36" t="n">
        <x:v>0.223</x:v>
      </x:c>
      <x:c r="E19" t="str">
        <x:v>Sin ruptura significativa</x:v>
      </x:c>
    </x:row>
    <x:row r="20">
      <x:c r="A20" t="str">
        <x:v>COCO / Granja · relativo</x:v>
      </x:c>
      <x:c r="B20" t="str">
        <x:v>1994-03</x:v>
      </x:c>
      <x:c r="C20" t="n">
        <x:v>78.56993</x:v>
      </x:c>
      <x:c r="D20" s="36" t="n">
        <x:v>0.001</x:v>
      </x:c>
      <x:c r="E20" t="str">
        <x:v>Cambio relativo significativo</x:v>
      </x:c>
    </x:row>
    <x:row r="21">
      <x:c r="A21" t="str">
        <x:v>Relativo · 1990–2005</x:v>
      </x:c>
      <x:c r="B21" t="str">
        <x:v>1994-03</x:v>
      </x:c>
      <x:c r="C21" t="n">
        <x:v>20.70982</x:v>
      </x:c>
      <x:c r="D21" s="36" t="n">
        <x:v>0.065</x:v>
      </x:c>
      <x:c r="E21" t="str">
        <x:v>No significativo al 5 %</x:v>
      </x:c>
    </x:row>
    <x:row r="23" ht="26" customHeight="1">
      <x:c r="A23" s="19" t="str">
        <x:v>INTERPRETACIÓN TÉCNICA / ESTADO DEL A1</x:v>
      </x:c>
      <x:c r="B23" s="19"/>
      <x:c r="C23" s="19"/>
      <x:c r="D23" s="19"/>
      <x:c r="E23" s="19"/>
      <x:c r="F23" s="19"/>
      <x:c r="G23" s="19"/>
      <x:c r="H23" s="19"/>
    </x:row>
    <x:row r="25" ht="29" customHeight="1">
      <x:c r="A25" s="24" t="str">
        <x:v>Ya existe una referencia IDEAM real que cubre antes y después de 1997: la verificación regional avanzó sustancialmente.</x:v>
      </x:c>
      <x:c r="B25" s="24"/>
      <x:c r="C25" s="24"/>
      <x:c r="D25" s="24"/>
      <x:c r="E25" s="24"/>
      <x:c r="F25" s="24"/>
      <x:c r="G25" s="24"/>
      <x:c r="H25" s="24"/>
    </x:row>
    <x:row r="26" ht="33" customHeight="1">
      <x:c r="A26" s="30" t="str">
        <x:v>COCO EL exhibe una ruptura absoluta cerca de junio de 1997; el contraste relativo con Granja presenta su máximo en marzo de 1994.</x:v>
      </x:c>
      <x:c r="B26" s="30"/>
      <x:c r="C26" s="30"/>
      <x:c r="D26" s="30"/>
      <x:c r="E26" s="30"/>
      <x:c r="F26" s="30"/>
      <x:c r="G26" s="30"/>
      <x:c r="H26" s="30"/>
    </x:row>
    <x:row r="27" ht="33" customHeight="1">
      <x:c r="A27" s="24" t="str">
        <x:v>La diferencia de fecha y la sensibilidad a la ventana impiden atribuir el cambio de forma definitiva a COCO EL.</x:v>
      </x:c>
      <x:c r="B27" s="24"/>
      <x:c r="C27" s="24"/>
      <x:c r="D27" s="24"/>
      <x:c r="E27" s="24"/>
      <x:c r="F27" s="24"/>
      <x:c r="G27" s="24"/>
      <x:c r="H27" s="24"/>
    </x:row>
    <x:row r="28" ht="33" customHeight="1">
      <x:c r="A28" s="30" t="str">
        <x:v>En DHIME los estados de aprobación de Granja son «Preliminar» o «En revisión»; verificar metadatos y continuidad de código/instrumentos.</x:v>
      </x:c>
      <x:c r="B28" s="30"/>
      <x:c r="C28" s="30"/>
      <x:c r="D28" s="30"/>
      <x:c r="E28" s="30"/>
      <x:c r="F28" s="30"/>
      <x:c r="G28" s="30"/>
      <x:c r="H28" s="30"/>
    </x:row>
    <x:row r="29" ht="29" customHeight="1">
      <x:c r="A29" s="24" t="str">
        <x:v>Conclusión A1: contraste cuantitativo realizado; certificación definitiva de homogeneidad TODAVÍA PENDIENTE.</x:v>
      </x:c>
      <x:c r="B29" s="24"/>
      <x:c r="C29" s="24"/>
      <x:c r="D29" s="24"/>
      <x:c r="E29" s="24"/>
      <x:c r="F29" s="24"/>
      <x:c r="G29" s="24"/>
      <x:c r="H29" s="24"/>
    </x:row>
  </x:sheetData>
  <x:mergeCells>
    <x:mergeCell ref="A1:H2"/>
    <x:mergeCell ref="A7:H7"/>
    <x:mergeCell ref="A15:H15"/>
    <x:mergeCell ref="A23:H23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25" hidden="0" customWidth="1"/>
    <x:col min="3" max="3" width="13" hidden="0" customWidth="1"/>
    <x:col min="4" max="4" width="20" hidden="0" customWidth="1"/>
    <x:col min="5" max="5" width="22" hidden="0" customWidth="1"/>
    <x:col min="6" max="6" width="20" hidden="0" customWidth="1"/>
    <x:col min="7" max="7" width="30" hidden="0" customWidth="1"/>
  </x:cols>
  <x:sheetData>
    <x:row r="1" ht="22" customHeight="1">
      <x:c r="A1" s="4" t="str">
        <x:v>Resultados SNHT · ventanas y robustez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7" customHeight="1">
      <x:c r="A3" s="8"/>
      <x:c r="B3" s="8"/>
      <x:c r="C3" s="8"/>
      <x:c r="D3" s="8"/>
      <x:c r="E3" s="8"/>
      <x:c r="F3" s="8"/>
      <x:c r="G3" s="8"/>
    </x:row>
    <x:row r="5" ht="30" customHeight="1">
      <x:c r="A5" s="15" t="str">
        <x:v>Tipo</x:v>
      </x:c>
      <x:c r="B5" s="15" t="str">
        <x:v>Ventana</x:v>
      </x:c>
      <x:c r="C5" s="15" t="str">
        <x:v>N meses</x:v>
      </x:c>
      <x:c r="D5" s="15" t="str">
        <x:v>Fecha SNHT</x:v>
      </x:c>
      <x:c r="E5" s="15" t="str">
        <x:v>T SNHT</x:v>
      </x:c>
      <x:c r="F5" s="15" t="str">
        <x:v>p bloques anuales</x:v>
      </x:c>
      <x:c r="G5" s="15" t="str">
        <x:v>Alerta al 5 %</x:v>
      </x:c>
    </x:row>
    <x:row r="6">
      <x:c r="A6" t="str">
        <x:v>Absoluto COCO 1985–2025</x:v>
      </x:c>
      <x:c r="B6" t="str">
        <x:v>1985-01 a 2025-07</x:v>
      </x:c>
      <x:c r="C6" t="n">
        <x:v>480</x:v>
      </x:c>
      <x:c r="D6" t="str">
        <x:v>1997-06</x:v>
      </x:c>
      <x:c r="E6" s="36" t="n">
        <x:v>63.08324</x:v>
      </x:c>
      <x:c r="F6" s="36" t="n">
        <x:v>0.001</x:v>
      </x:c>
      <x:c r="G6" t="str">
        <x:v>Sí</x:v>
      </x:c>
    </x:row>
    <x:row r="7">
      <x:c r="A7" t="str">
        <x:v>Absoluto Granja 1985–2025</x:v>
      </x:c>
      <x:c r="B7" t="str">
        <x:v>1985-01 a 2025-07</x:v>
      </x:c>
      <x:c r="C7" t="n">
        <x:v>465</x:v>
      </x:c>
      <x:c r="D7" t="str">
        <x:v>2013-12</x:v>
      </x:c>
      <x:c r="E7" s="36" t="n">
        <x:v>11.58752</x:v>
      </x:c>
      <x:c r="F7" s="36" t="n">
        <x:v>0.223</x:v>
      </x:c>
      <x:c r="G7" t="str">
        <x:v>No</x:v>
      </x:c>
    </x:row>
    <x:row r="8">
      <x:c r="A8" t="str">
        <x:v>Absoluto Granja 1990–2003</x:v>
      </x:c>
      <x:c r="B8" t="str">
        <x:v>1990-01 a 2003-12</x:v>
      </x:c>
      <x:c r="C8" t="n">
        <x:v>155</x:v>
      </x:c>
      <x:c r="D8" t="str">
        <x:v>1997-06</x:v>
      </x:c>
      <x:c r="E8" s="36" t="n">
        <x:v>8.88084</x:v>
      </x:c>
      <x:c r="F8" s="36" t="n">
        <x:v>0.324</x:v>
      </x:c>
      <x:c r="G8" t="str">
        <x:v>No</x:v>
      </x:c>
    </x:row>
    <x:row r="9">
      <x:c r="A9" t="str">
        <x:v>Relativo 1985–2025</x:v>
      </x:c>
      <x:c r="B9" t="str">
        <x:v>1985-01 a 2025-07</x:v>
      </x:c>
      <x:c r="C9" t="n">
        <x:v>458</x:v>
      </x:c>
      <x:c r="D9" t="str">
        <x:v>1994-03</x:v>
      </x:c>
      <x:c r="E9" s="36" t="n">
        <x:v>78.56993</x:v>
      </x:c>
      <x:c r="F9" s="36" t="n">
        <x:v>0.001</x:v>
      </x:c>
      <x:c r="G9" t="str">
        <x:v>Sí</x:v>
      </x:c>
    </x:row>
    <x:row r="10">
      <x:c r="A10" t="str">
        <x:v>Relativo 1985–2005</x:v>
      </x:c>
      <x:c r="B10" t="str">
        <x:v>1985-01 a 2005-12</x:v>
      </x:c>
      <x:c r="C10" t="n">
        <x:v>237</x:v>
      </x:c>
      <x:c r="D10" t="str">
        <x:v>1994-03</x:v>
      </x:c>
      <x:c r="E10" s="36" t="n">
        <x:v>49.42706</x:v>
      </x:c>
      <x:c r="F10" s="36" t="n">
        <x:v>0.001</x:v>
      </x:c>
      <x:c r="G10" t="str">
        <x:v>Sí</x:v>
      </x:c>
    </x:row>
    <x:row r="11">
      <x:c r="A11" t="str">
        <x:v>Relativo 1990–2005</x:v>
      </x:c>
      <x:c r="B11" t="str">
        <x:v>1990-01 a 2005-12</x:v>
      </x:c>
      <x:c r="C11" t="n">
        <x:v>178</x:v>
      </x:c>
      <x:c r="D11" t="str">
        <x:v>1994-03</x:v>
      </x:c>
      <x:c r="E11" s="36" t="n">
        <x:v>20.70982</x:v>
      </x:c>
      <x:c r="F11" s="36" t="n">
        <x:v>0.065</x:v>
      </x:c>
      <x:c r="G11" t="str">
        <x:v>No</x:v>
      </x:c>
    </x:row>
    <x:row r="12">
      <x:c r="A12" t="str">
        <x:v>Relativo 1992–2025</x:v>
      </x:c>
      <x:c r="B12" t="str">
        <x:v>1992-01 a 2025-07</x:v>
      </x:c>
      <x:c r="C12" t="n">
        <x:v>379</x:v>
      </x:c>
      <x:c r="D12" t="str">
        <x:v>1997-11</x:v>
      </x:c>
      <x:c r="E12" s="36" t="n">
        <x:v>18.73214</x:v>
      </x:c>
      <x:c r="F12" s="36" t="n">
        <x:v>0.071</x:v>
      </x:c>
      <x:c r="G12" t="str">
        <x:v>No</x:v>
      </x:c>
    </x:row>
    <x:row r="15" ht="28" customHeight="1">
      <x:c r="A15" s="11" t="str">
        <x:v>CONTRASTE ANUAL DE CAMBIO (excluido 1997; años con ≥9 meses pareados)</x:v>
      </x:c>
      <x:c r="B15" s="11"/>
      <x:c r="C15" s="11"/>
      <x:c r="D15" s="11"/>
      <x:c r="E15" s="11"/>
      <x:c r="F15" s="11"/>
      <x:c r="G15" s="11"/>
    </x:row>
    <x:row r="17" ht="30" customHeight="1">
      <x:c r="A17" s="15" t="str">
        <x:v>Ventana pre / post</x:v>
      </x:c>
      <x:c r="B17" s="15" t="str">
        <x:v>Años antes</x:v>
      </x:c>
      <x:c r="C17" s="15" t="str">
        <x:v>Años después</x:v>
      </x:c>
      <x:c r="D17" s="15" t="str">
        <x:v>Δ promedio log-ratio</x:v>
      </x:c>
      <x:c r="E17" s="15" t="str">
        <x:v>Factor relativo (exp Δ)</x:v>
      </x:c>
      <x:c r="F17" s="15" t="str">
        <x:v>p permutación</x:v>
      </x:c>
      <x:c r="G17" s="15" t="str">
        <x:v>IC95 Δ log-ratio</x:v>
      </x:c>
    </x:row>
    <x:row r="18">
      <x:c r="A18" t="str">
        <x:v>1985-1996 versus 1998-2005 (1997 excluido)</x:v>
      </x:c>
      <x:c r="B18" t="n">
        <x:v>11</x:v>
      </x:c>
      <x:c r="C18" t="n">
        <x:v>8</x:v>
      </x:c>
      <x:c r="D18" s="34" t="n">
        <x:v>0.561492</x:v>
      </x:c>
      <x:c r="E18" s="34" t="n">
        <x:v>1.75329</x:v>
      </x:c>
      <x:c r="F18" s="34" t="n">
        <x:v>0.0025</x:v>
      </x:c>
      <x:c r="G18" t="str">
        <x:v>[0.299, 0.835]</x:v>
      </x:c>
    </x:row>
    <x:row r="19">
      <x:c r="A19" t="str">
        <x:v>1990-1996 versus 1998-2005 (1997 excluido)</x:v>
      </x:c>
      <x:c r="B19" t="n">
        <x:v>6</x:v>
      </x:c>
      <x:c r="C19" t="n">
        <x:v>8</x:v>
      </x:c>
      <x:c r="D19" s="34" t="n">
        <x:v>0.304977</x:v>
      </x:c>
      <x:c r="E19" s="34" t="n">
        <x:v>1.35659</x:v>
      </x:c>
      <x:c r="F19" s="34" t="n">
        <x:v>0.066664</x:v>
      </x:c>
      <x:c r="G19" t="str">
        <x:v>[0.034, 0.587]</x:v>
      </x:c>
    </x:row>
    <x:row r="22">
      <x:c r="A22" s="11" t="str">
        <x:v>Método e interpretación</x:v>
      </x:c>
      <x:c r="B22" s="11"/>
      <x:c r="C22" s="11"/>
      <x:c r="D22" s="11"/>
      <x:c r="E22" s="11"/>
      <x:c r="F22" s="11"/>
      <x:c r="G22" s="11"/>
    </x:row>
    <x:row r="24" ht="30" customHeight="1">
      <x:c r="A24" s="40" t="str">
        <x:v>SNHT absoluto: precipitación mensual estandarizada por mes del año; relativo: ln[(P_COCO+1)/(P_GRANJA+1)].</x:v>
      </x:c>
      <x:c r="B24" s="40"/>
      <x:c r="C24" s="40"/>
      <x:c r="D24" s="40"/>
      <x:c r="E24" s="40"/>
      <x:c r="F24" s="40"/>
      <x:c r="G24" s="40"/>
    </x:row>
    <x:row r="25" ht="30" customHeight="1">
      <x:c r="A25" s="42" t="str">
        <x:v>Cobertura: solamente meses con por lo menos el 90 % de días medidos en ambas estaciones.</x:v>
      </x:c>
      <x:c r="B25" s="42"/>
      <x:c r="C25" s="42"/>
      <x:c r="D25" s="42"/>
      <x:c r="E25" s="42"/>
      <x:c r="F25" s="42"/>
      <x:c r="G25" s="42"/>
    </x:row>
    <x:row r="26" ht="30" customHeight="1">
      <x:c r="A26" s="40" t="str">
        <x:v>Permutación de bloques-año (999 reordenamientos) para p SNHT. El análisis de periodos anuales usa 30.000 permutaciones y bootstrap anual.</x:v>
      </x:c>
      <x:c r="B26" s="40"/>
      <x:c r="C26" s="40"/>
      <x:c r="D26" s="40"/>
      <x:c r="E26" s="40"/>
      <x:c r="F26" s="40"/>
      <x:c r="G26" s="40"/>
    </x:row>
    <x:row r="27" ht="30" customHeight="1">
      <x:c r="A27" s="42" t="str">
        <x:v>Los valores p son exploratorios; dependencia interanual y multiplicidad de análisis afectan interpretación.</x:v>
      </x:c>
      <x:c r="B27" s="42"/>
      <x:c r="C27" s="42"/>
      <x:c r="D27" s="42"/>
      <x:c r="E27" s="42"/>
      <x:c r="F27" s="42"/>
      <x:c r="G27" s="42"/>
    </x:row>
    <x:row r="28" ht="30" customHeight="1">
      <x:c r="A28" s="40" t="str">
        <x:v>SNHT relativo máximo en marzo-1994 ≠ prueba confirmatoria de ruptura específica en 1997. No atribuir cambios sin metadatos.</x:v>
      </x:c>
      <x:c r="B28" s="40"/>
      <x:c r="C28" s="40"/>
      <x:c r="D28" s="40"/>
      <x:c r="E28" s="40"/>
      <x:c r="F28" s="40"/>
      <x:c r="G28" s="40"/>
    </x:row>
  </x:sheetData>
  <x:mergeCells>
    <x:mergeCell ref="A1:G2"/>
    <x:mergeCell ref="A15:G15"/>
    <x:mergeCell ref="A22:G22"/>
    <x:mergeCell ref="A24:G24"/>
    <x:mergeCell ref="A25:G25"/>
    <x:mergeCell ref="A26:G26"/>
    <x:mergeCell ref="A27:G27"/>
    <x:mergeCell ref="A28:G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3" hidden="0" customWidth="1"/>
    <x:col min="4" max="4" width="13" hidden="0" customWidth="1"/>
    <x:col min="5" max="5" width="14" hidden="0" customWidth="1"/>
    <x:col min="6" max="6" width="20" hidden="0" customWidth="1"/>
    <x:col min="7" max="7" width="20" hidden="0" customWidth="1"/>
    <x:col min="8" max="8" width="17" hidden="0" customWidth="1"/>
    <x:col min="9" max="9" width="28" hidden="0" customWidth="1"/>
    <x:col min="10" max="10" width="16" hidden="0" customWidth="1"/>
    <x:col min="11" max="11" width="19" hidden="0" customWidth="1"/>
  </x:cols>
  <x:sheetData>
    <x:row r="1" ht="22" customHeight="1">
      <x:c r="A1" s="4" t="str">
        <x:v>Serie mensual comparable · COCO EL vs Granja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7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0" customHeight="1">
      <x:c r="A5" s="15" t="str">
        <x:v>Mes</x:v>
      </x:c>
      <x:c r="B5" s="15" t="str">
        <x:v>COCO EL (mm)</x:v>
      </x:c>
      <x:c r="C5" s="15" t="str">
        <x:v>Granja El Mira (mm)</x:v>
      </x:c>
      <x:c r="D5" s="15" t="str">
        <x:v>Días COCO</x:v>
      </x:c>
      <x:c r="E5" s="15" t="str">
        <x:v>Días Granja</x:v>
      </x:c>
      <x:c r="F5" s="15" t="str">
        <x:v>Cob. COCO (%)</x:v>
      </x:c>
      <x:c r="G5" s="15" t="str">
        <x:v>Cob. Granja (%)</x:v>
      </x:c>
      <x:c r="H5" s="15" t="str">
        <x:v>Dif. (mm)</x:v>
      </x:c>
      <x:c r="I5" s="15" t="str">
        <x:v>ln[(COCO+1)/(Granja+1)]</x:v>
      </x:c>
      <x:c r="J5" s="15" t="str">
        <x:v>1997</x:v>
      </x:c>
      <x:c r="K5" s="15" t="str">
        <x:v>Código referencia</x:v>
      </x:c>
    </x:row>
    <x:row r="6">
      <x:c r="A6" t="str">
        <x:v>1985-01</x:v>
      </x:c>
      <x:c r="B6" s="44" t="n">
        <x:v>184</x:v>
      </x:c>
      <x:c r="C6" s="44" t="n">
        <x:v>200.7</x:v>
      </x:c>
      <x:c r="D6" t="n">
        <x:v>31</x:v>
      </x:c>
      <x:c r="E6" t="n">
        <x:v>31</x:v>
      </x:c>
      <x:c r="F6" s="46" t="n">
        <x:v>100</x:v>
      </x:c>
      <x:c r="G6" s="46" t="n">
        <x:v>100</x:v>
      </x:c>
      <x:c r="H6" s="46" t="n">
        <x:f>B6-C6</x:f>
        <x:v>-16.69999999999999</x:v>
      </x:c>
      <x:c r="I6" s="46" t="n">
        <x:f>LN((B6+1)/(C6+1))</x:f>
        <x:v>-0.08642561988184125</x:v>
      </x:c>
      <x:c r="J6" t="str">
        <x:f>IF(A6&lt;"1997-06","Antes","Después")</x:f>
        <x:v>Antes</x:v>
      </x:c>
      <x:c r="K6" t="str">
        <x:v>51025090</x:v>
      </x:c>
    </x:row>
    <x:row r="7">
      <x:c r="A7" t="str">
        <x:v>1985-02</x:v>
      </x:c>
      <x:c r="B7" s="44" t="n">
        <x:v>108.5</x:v>
      </x:c>
      <x:c r="C7" s="44" t="n">
        <x:v>138.1</x:v>
      </x:c>
      <x:c r="D7" t="n">
        <x:v>28</x:v>
      </x:c>
      <x:c r="E7" t="n">
        <x:v>28</x:v>
      </x:c>
      <x:c r="F7" s="46" t="n">
        <x:v>100</x:v>
      </x:c>
      <x:c r="G7" s="46" t="n">
        <x:v>100</x:v>
      </x:c>
      <x:c r="H7" s="46" t="n">
        <x:f>B7-C7</x:f>
        <x:v>-29.599999999999994</x:v>
      </x:c>
      <x:c r="I7" s="46" t="n">
        <x:f>LN((B7+1)/(C7+1))</x:f>
        <x:v>-0.23926854967284167</x:v>
      </x:c>
      <x:c r="J7" t="str">
        <x:f>IF(A7&lt;"1997-06","Antes","Después")</x:f>
        <x:v>Antes</x:v>
      </x:c>
      <x:c r="K7" t="str">
        <x:v>51025090</x:v>
      </x:c>
    </x:row>
    <x:row r="8">
      <x:c r="A8" t="str">
        <x:v>1985-03</x:v>
      </x:c>
      <x:c r="B8" s="44" t="n">
        <x:v>48</x:v>
      </x:c>
      <x:c r="C8" s="44" t="n">
        <x:v>101.7</x:v>
      </x:c>
      <x:c r="D8" t="n">
        <x:v>31</x:v>
      </x:c>
      <x:c r="E8" t="n">
        <x:v>31</x:v>
      </x:c>
      <x:c r="F8" s="46" t="n">
        <x:v>100</x:v>
      </x:c>
      <x:c r="G8" s="46" t="n">
        <x:v>100</x:v>
      </x:c>
      <x:c r="H8" s="46" t="n">
        <x:f>B8-C8</x:f>
        <x:v>-53.7</x:v>
      </x:c>
      <x:c r="I8" s="46" t="n">
        <x:f>LN((B8+1)/(C8+1))</x:f>
        <x:v>-0.739991818823886</x:v>
      </x:c>
      <x:c r="J8" t="str">
        <x:f>IF(A8&lt;"1997-06","Antes","Después")</x:f>
        <x:v>Antes</x:v>
      </x:c>
      <x:c r="K8" t="str">
        <x:v>51025090</x:v>
      </x:c>
    </x:row>
    <x:row r="9">
      <x:c r="A9" t="str">
        <x:v>1985-04</x:v>
      </x:c>
      <x:c r="B9" s="44" t="n">
        <x:v>168.4</x:v>
      </x:c>
      <x:c r="C9" s="44" t="n">
        <x:v>217.6</x:v>
      </x:c>
      <x:c r="D9" t="n">
        <x:v>30</x:v>
      </x:c>
      <x:c r="E9" t="n">
        <x:v>30</x:v>
      </x:c>
      <x:c r="F9" s="46" t="n">
        <x:v>100</x:v>
      </x:c>
      <x:c r="G9" s="46" t="n">
        <x:v>100</x:v>
      </x:c>
      <x:c r="H9" s="46" t="n">
        <x:f>B9-C9</x:f>
        <x:v>-49.19999999999999</x:v>
      </x:c>
      <x:c r="I9" s="46" t="n">
        <x:f>LN((B9+1)/(C9+1))</x:f>
        <x:v>-0.25498079352448416</x:v>
      </x:c>
      <x:c r="J9" t="str">
        <x:f>IF(A9&lt;"1997-06","Antes","Después")</x:f>
        <x:v>Antes</x:v>
      </x:c>
      <x:c r="K9" t="str">
        <x:v>51025090</x:v>
      </x:c>
    </x:row>
    <x:row r="10">
      <x:c r="A10" t="str">
        <x:v>1985-05</x:v>
      </x:c>
      <x:c r="B10" s="44" t="n">
        <x:v>393.7</x:v>
      </x:c>
      <x:c r="C10" s="44" t="n">
        <x:v>338.5</x:v>
      </x:c>
      <x:c r="D10" t="n">
        <x:v>31</x:v>
      </x:c>
      <x:c r="E10" t="n">
        <x:v>31</x:v>
      </x:c>
      <x:c r="F10" s="46" t="n">
        <x:v>100</x:v>
      </x:c>
      <x:c r="G10" s="46" t="n">
        <x:v>100</x:v>
      </x:c>
      <x:c r="H10" s="46" t="n">
        <x:f>B10-C10</x:f>
        <x:v>55.19999999999999</x:v>
      </x:c>
      <x:c r="I10" s="46" t="n">
        <x:f>LN((B10+1)/(C10+1))</x:f>
        <x:v>0.1506520356700505</x:v>
      </x:c>
      <x:c r="J10" t="str">
        <x:f>IF(A10&lt;"1997-06","Antes","Después")</x:f>
        <x:v>Antes</x:v>
      </x:c>
      <x:c r="K10" t="str">
        <x:v>51025090</x:v>
      </x:c>
    </x:row>
    <x:row r="11">
      <x:c r="A11" t="str">
        <x:v>1985-06</x:v>
      </x:c>
      <x:c r="B11" s="44" t="n">
        <x:v>366.4</x:v>
      </x:c>
      <x:c r="C11" s="44" t="n">
        <x:v>396.6</x:v>
      </x:c>
      <x:c r="D11" t="n">
        <x:v>30</x:v>
      </x:c>
      <x:c r="E11" t="n">
        <x:v>30</x:v>
      </x:c>
      <x:c r="F11" s="46" t="n">
        <x:v>100</x:v>
      </x:c>
      <x:c r="G11" s="46" t="n">
        <x:v>100</x:v>
      </x:c>
      <x:c r="H11" s="46" t="n">
        <x:f>B11-C11</x:f>
        <x:v>-30.200000000000045</x:v>
      </x:c>
      <x:c r="I11" s="46" t="n">
        <x:f>LN((B11+1)/(C11+1))</x:f>
        <x:v>-0.07899530200139385</x:v>
      </x:c>
      <x:c r="J11" t="str">
        <x:f>IF(A11&lt;"1997-06","Antes","Después")</x:f>
        <x:v>Antes</x:v>
      </x:c>
      <x:c r="K11" t="str">
        <x:v>51025090</x:v>
      </x:c>
    </x:row>
    <x:row r="12">
      <x:c r="A12" t="str">
        <x:v>1985-07</x:v>
      </x:c>
      <x:c r="B12" s="44" t="n">
        <x:v>59.7</x:v>
      </x:c>
      <x:c r="C12" s="44" t="n">
        <x:v>75</x:v>
      </x:c>
      <x:c r="D12" t="n">
        <x:v>31</x:v>
      </x:c>
      <x:c r="E12" t="n">
        <x:v>31</x:v>
      </x:c>
      <x:c r="F12" s="46" t="n">
        <x:v>100</x:v>
      </x:c>
      <x:c r="G12" s="46" t="n">
        <x:v>100</x:v>
      </x:c>
      <x:c r="H12" s="46" t="n">
        <x:f>B12-C12</x:f>
        <x:v>-15.299999999999997</x:v>
      </x:c>
      <x:c r="I12" s="46" t="n">
        <x:f>LN((B12+1)/(C12+1))</x:f>
        <x:v>-0.22478964222087852</x:v>
      </x:c>
      <x:c r="J12" t="str">
        <x:f>IF(A12&lt;"1997-06","Antes","Después")</x:f>
        <x:v>Antes</x:v>
      </x:c>
      <x:c r="K12" t="str">
        <x:v>51025090</x:v>
      </x:c>
    </x:row>
    <x:row r="13">
      <x:c r="A13" t="str">
        <x:v>1985-08</x:v>
      </x:c>
      <x:c r="B13" s="44" t="n">
        <x:v>27.1</x:v>
      </x:c>
      <x:c r="C13" s="44" t="n">
        <x:v>84.2</x:v>
      </x:c>
      <x:c r="D13" t="n">
        <x:v>31</x:v>
      </x:c>
      <x:c r="E13" t="n">
        <x:v>31</x:v>
      </x:c>
      <x:c r="F13" s="46" t="n">
        <x:v>100</x:v>
      </x:c>
      <x:c r="G13" s="46" t="n">
        <x:v>100</x:v>
      </x:c>
      <x:c r="H13" s="46" t="n">
        <x:f>B13-C13</x:f>
        <x:v>-57.1</x:v>
      </x:c>
      <x:c r="I13" s="46" t="n">
        <x:f>LN((B13+1)/(C13+1))</x:f>
        <x:v>-1.10923185749557</x:v>
      </x:c>
      <x:c r="J13" t="str">
        <x:f>IF(A13&lt;"1997-06","Antes","Después")</x:f>
        <x:v>Antes</x:v>
      </x:c>
      <x:c r="K13" t="str">
        <x:v>51025090</x:v>
      </x:c>
    </x:row>
    <x:row r="14">
      <x:c r="A14" t="str">
        <x:v>1985-09</x:v>
      </x:c>
      <x:c r="B14" s="44" t="n">
        <x:v>21</x:v>
      </x:c>
      <x:c r="C14" s="44" t="n">
        <x:v>191.8</x:v>
      </x:c>
      <x:c r="D14" t="n">
        <x:v>30</x:v>
      </x:c>
      <x:c r="E14" t="n">
        <x:v>30</x:v>
      </x:c>
      <x:c r="F14" s="46" t="n">
        <x:v>100</x:v>
      </x:c>
      <x:c r="G14" s="46" t="n">
        <x:v>100</x:v>
      </x:c>
      <x:c r="H14" s="46" t="n">
        <x:f>B14-C14</x:f>
        <x:v>-170.8</x:v>
      </x:c>
      <x:c r="I14" s="46" t="n">
        <x:f>LN((B14+1)/(C14+1))</x:f>
        <x:v>-2.1706109288181294</x:v>
      </x:c>
      <x:c r="J14" t="str">
        <x:f>IF(A14&lt;"1997-06","Antes","Después")</x:f>
        <x:v>Antes</x:v>
      </x:c>
      <x:c r="K14" t="str">
        <x:v>51025090</x:v>
      </x:c>
    </x:row>
    <x:row r="15">
      <x:c r="A15" t="str">
        <x:v>1985-10</x:v>
      </x:c>
      <x:c r="B15" s="44" t="n">
        <x:v>10.4</x:v>
      </x:c>
      <x:c r="C15" s="44" t="n">
        <x:v>30.8</x:v>
      </x:c>
      <x:c r="D15" t="n">
        <x:v>31</x:v>
      </x:c>
      <x:c r="E15" t="n">
        <x:v>31</x:v>
      </x:c>
      <x:c r="F15" s="46" t="n">
        <x:v>100</x:v>
      </x:c>
      <x:c r="G15" s="46" t="n">
        <x:v>100</x:v>
      </x:c>
      <x:c r="H15" s="46" t="n">
        <x:f>B15-C15</x:f>
        <x:v>-20.4</x:v>
      </x:c>
      <x:c r="I15" s="46" t="n">
        <x:f>LN((B15+1)/(C15+1))</x:f>
        <x:v>-1.0258529343856815</x:v>
      </x:c>
      <x:c r="J15" t="str">
        <x:f>IF(A15&lt;"1997-06","Antes","Después")</x:f>
        <x:v>Antes</x:v>
      </x:c>
      <x:c r="K15" t="str">
        <x:v>51025090</x:v>
      </x:c>
    </x:row>
    <x:row r="16">
      <x:c r="A16" t="str">
        <x:v>1985-11</x:v>
      </x:c>
      <x:c r="B16" s="44" t="n">
        <x:v>37.3</x:v>
      </x:c>
      <x:c r="C16" s="44" t="n">
        <x:v>100.7</x:v>
      </x:c>
      <x:c r="D16" t="n">
        <x:v>30</x:v>
      </x:c>
      <x:c r="E16" t="n">
        <x:v>29</x:v>
      </x:c>
      <x:c r="F16" s="46" t="n">
        <x:v>100</x:v>
      </x:c>
      <x:c r="G16" s="46" t="n">
        <x:v>96.67</x:v>
      </x:c>
      <x:c r="H16" s="46" t="n">
        <x:f>B16-C16</x:f>
        <x:v>-63.400000000000006</x:v>
      </x:c>
      <x:c r="I16" s="46" t="n">
        <x:f>LN((B16+1)/(C16+1))</x:f>
        <x:v>-0.976577406867914</x:v>
      </x:c>
      <x:c r="J16" t="str">
        <x:f>IF(A16&lt;"1997-06","Antes","Después")</x:f>
        <x:v>Antes</x:v>
      </x:c>
      <x:c r="K16" t="str">
        <x:v>51025090</x:v>
      </x:c>
    </x:row>
    <x:row r="17">
      <x:c r="A17" t="str">
        <x:v>1985-12</x:v>
      </x:c>
      <x:c r="B17" s="44" t="n">
        <x:v>96</x:v>
      </x:c>
      <x:c r="C17" s="44" t="n">
        <x:v>362.5</x:v>
      </x:c>
      <x:c r="D17" t="n">
        <x:v>31</x:v>
      </x:c>
      <x:c r="E17" t="n">
        <x:v>31</x:v>
      </x:c>
      <x:c r="F17" s="46" t="n">
        <x:v>100</x:v>
      </x:c>
      <x:c r="G17" s="46" t="n">
        <x:v>100</x:v>
      </x:c>
      <x:c r="H17" s="46" t="n">
        <x:f>B17-C17</x:f>
        <x:v>-266.5</x:v>
      </x:c>
      <x:c r="I17" s="46" t="n">
        <x:f>LN((B17+1)/(C17+1))</x:f>
        <x:v>-1.3210683184701912</x:v>
      </x:c>
      <x:c r="J17" t="str">
        <x:f>IF(A17&lt;"1997-06","Antes","Después")</x:f>
        <x:v>Antes</x:v>
      </x:c>
      <x:c r="K17" t="str">
        <x:v>51025090</x:v>
      </x:c>
    </x:row>
    <x:row r="18">
      <x:c r="A18" t="str">
        <x:v>1986-01</x:v>
      </x:c>
      <x:c r="B18" s="44" t="n">
        <x:v>124.2</x:v>
      </x:c>
      <x:c r="C18" s="44" t="n">
        <x:v>555.7</x:v>
      </x:c>
      <x:c r="D18" t="n">
        <x:v>31</x:v>
      </x:c>
      <x:c r="E18" t="n">
        <x:v>31</x:v>
      </x:c>
      <x:c r="F18" s="46" t="n">
        <x:v>100</x:v>
      </x:c>
      <x:c r="G18" s="46" t="n">
        <x:v>100</x:v>
      </x:c>
      <x:c r="H18" s="46" t="n">
        <x:f>B18-C18</x:f>
        <x:v>-431.50000000000006</x:v>
      </x:c>
      <x:c r="I18" s="46" t="n">
        <x:f>LN((B18+1)/(C18+1))</x:f>
        <x:v>-1.492114036523464</x:v>
      </x:c>
      <x:c r="J18" t="str">
        <x:f>IF(A18&lt;"1997-06","Antes","Después")</x:f>
        <x:v>Antes</x:v>
      </x:c>
      <x:c r="K18" t="str">
        <x:v>51025090</x:v>
      </x:c>
    </x:row>
    <x:row r="19">
      <x:c r="A19" t="str">
        <x:v>1986-02</x:v>
      </x:c>
      <x:c r="B19" s="44" t="n">
        <x:v>115</x:v>
      </x:c>
      <x:c r="C19" s="44" t="n">
        <x:v>259.7</x:v>
      </x:c>
      <x:c r="D19" t="n">
        <x:v>27</x:v>
      </x:c>
      <x:c r="E19" t="n">
        <x:v>28</x:v>
      </x:c>
      <x:c r="F19" s="46" t="n">
        <x:v>96.43</x:v>
      </x:c>
      <x:c r="G19" s="46" t="n">
        <x:v>100</x:v>
      </x:c>
      <x:c r="H19" s="46" t="n">
        <x:f>B19-C19</x:f>
        <x:v>-144.7</x:v>
      </x:c>
      <x:c r="I19" s="46" t="n">
        <x:f>LN((B19+1)/(C19+1))</x:f>
        <x:v>-0.8097801298330913</x:v>
      </x:c>
      <x:c r="J19" t="str">
        <x:f>IF(A19&lt;"1997-06","Antes","Después")</x:f>
        <x:v>Antes</x:v>
      </x:c>
      <x:c r="K19" t="str">
        <x:v>51025090</x:v>
      </x:c>
    </x:row>
    <x:row r="20">
      <x:c r="A20" t="str">
        <x:v>1986-03</x:v>
      </x:c>
      <x:c r="B20" s="44" t="n">
        <x:v>148.7</x:v>
      </x:c>
      <x:c r="C20" s="44" t="n">
        <x:v>256.3</x:v>
      </x:c>
      <x:c r="D20" t="n">
        <x:v>30</x:v>
      </x:c>
      <x:c r="E20" t="n">
        <x:v>31</x:v>
      </x:c>
      <x:c r="F20" s="46" t="n">
        <x:v>96.77</x:v>
      </x:c>
      <x:c r="G20" s="46" t="n">
        <x:v>100</x:v>
      </x:c>
      <x:c r="H20" s="46" t="n">
        <x:f>B20-C20</x:f>
        <x:v>-107.60000000000002</x:v>
      </x:c>
      <x:c r="I20" s="46" t="n">
        <x:f>LN((B20+1)/(C20+1))</x:f>
        <x:v>-0.5416094278621159</x:v>
      </x:c>
      <x:c r="J20" t="str">
        <x:f>IF(A20&lt;"1997-06","Antes","Después")</x:f>
        <x:v>Antes</x:v>
      </x:c>
      <x:c r="K20" t="str">
        <x:v>51025090</x:v>
      </x:c>
    </x:row>
    <x:row r="21">
      <x:c r="A21" t="str">
        <x:v>1986-04</x:v>
      </x:c>
      <x:c r="B21" s="44" t="n">
        <x:v>174.8</x:v>
      </x:c>
      <x:c r="C21" s="44" t="n">
        <x:v>307</x:v>
      </x:c>
      <x:c r="D21" t="n">
        <x:v>30</x:v>
      </x:c>
      <x:c r="E21" t="n">
        <x:v>30</x:v>
      </x:c>
      <x:c r="F21" s="46" t="n">
        <x:v>100</x:v>
      </x:c>
      <x:c r="G21" s="46" t="n">
        <x:v>100</x:v>
      </x:c>
      <x:c r="H21" s="46" t="n">
        <x:f>B21-C21</x:f>
        <x:v>-132.2</x:v>
      </x:c>
      <x:c r="I21" s="46" t="n">
        <x:f>LN((B21+1)/(C21+1))</x:f>
        <x:v>-0.5607527977224978</x:v>
      </x:c>
      <x:c r="J21" t="str">
        <x:f>IF(A21&lt;"1997-06","Antes","Después")</x:f>
        <x:v>Antes</x:v>
      </x:c>
      <x:c r="K21" t="str">
        <x:v>51025090</x:v>
      </x:c>
    </x:row>
    <x:row r="22">
      <x:c r="A22" t="str">
        <x:v>1986-05</x:v>
      </x:c>
      <x:c r="B22" s="44" t="n">
        <x:v>116.8</x:v>
      </x:c>
      <x:c r="C22" s="44" t="n">
        <x:v>328.7</x:v>
      </x:c>
      <x:c r="D22" t="n">
        <x:v>31</x:v>
      </x:c>
      <x:c r="E22" t="n">
        <x:v>31</x:v>
      </x:c>
      <x:c r="F22" s="46" t="n">
        <x:v>100</x:v>
      </x:c>
      <x:c r="G22" s="46" t="n">
        <x:v>100</x:v>
      </x:c>
      <x:c r="H22" s="46" t="n">
        <x:f>B22-C22</x:f>
        <x:v>-211.89999999999998</x:v>
      </x:c>
      <x:c r="I22" s="46" t="n">
        <x:f>LN((B22+1)/(C22+1))</x:f>
        <x:v>-1.029194878860199</x:v>
      </x:c>
      <x:c r="J22" t="str">
        <x:f>IF(A22&lt;"1997-06","Antes","Después")</x:f>
        <x:v>Antes</x:v>
      </x:c>
      <x:c r="K22" t="str">
        <x:v>51025090</x:v>
      </x:c>
    </x:row>
    <x:row r="23">
      <x:c r="A23" t="str">
        <x:v>1986-06</x:v>
      </x:c>
      <x:c r="B23" s="44" t="n">
        <x:v>27.9</x:v>
      </x:c>
      <x:c r="C23" s="44" t="n">
        <x:v>135.9</x:v>
      </x:c>
      <x:c r="D23" t="n">
        <x:v>30</x:v>
      </x:c>
      <x:c r="E23" t="n">
        <x:v>30</x:v>
      </x:c>
      <x:c r="F23" s="46" t="n">
        <x:v>100</x:v>
      </x:c>
      <x:c r="G23" s="46" t="n">
        <x:v>100</x:v>
      </x:c>
      <x:c r="H23" s="46" t="n">
        <x:f>B23-C23</x:f>
        <x:v>-108</x:v>
      </x:c>
      <x:c r="I23" s="46" t="n">
        <x:f>LN((B23+1)/(C23+1))</x:f>
        <x:v>-1.5554091371760168</x:v>
      </x:c>
      <x:c r="J23" t="str">
        <x:f>IF(A23&lt;"1997-06","Antes","Después")</x:f>
        <x:v>Antes</x:v>
      </x:c>
      <x:c r="K23" t="str">
        <x:v>51025090</x:v>
      </x:c>
    </x:row>
    <x:row r="24">
      <x:c r="A24" t="str">
        <x:v>1986-07</x:v>
      </x:c>
      <x:c r="B24" s="44" t="n">
        <x:v>40.7</x:v>
      </x:c>
      <x:c r="C24" s="44" t="n">
        <x:v>296</x:v>
      </x:c>
      <x:c r="D24" t="n">
        <x:v>31</x:v>
      </x:c>
      <x:c r="E24" t="n">
        <x:v>31</x:v>
      </x:c>
      <x:c r="F24" s="46" t="n">
        <x:v>100</x:v>
      </x:c>
      <x:c r="G24" s="46" t="n">
        <x:v>100</x:v>
      </x:c>
      <x:c r="H24" s="46" t="n">
        <x:f>B24-C24</x:f>
        <x:v>-255.3</x:v>
      </x:c>
      <x:c r="I24" s="46" t="n">
        <x:f>LN((B24+1)/(C24+1))</x:f>
        <x:v>-1.9632310099979438</x:v>
      </x:c>
      <x:c r="J24" t="str">
        <x:f>IF(A24&lt;"1997-06","Antes","Después")</x:f>
        <x:v>Antes</x:v>
      </x:c>
      <x:c r="K24" t="str">
        <x:v>51025090</x:v>
      </x:c>
    </x:row>
    <x:row r="25">
      <x:c r="A25" t="str">
        <x:v>1986-08</x:v>
      </x:c>
      <x:c r="B25" s="44" t="n">
        <x:v>54</x:v>
      </x:c>
      <x:c r="C25" s="44" t="n">
        <x:v>102.3</x:v>
      </x:c>
      <x:c r="D25" t="n">
        <x:v>31</x:v>
      </x:c>
      <x:c r="E25" t="n">
        <x:v>31</x:v>
      </x:c>
      <x:c r="F25" s="46" t="n">
        <x:v>100</x:v>
      </x:c>
      <x:c r="G25" s="46" t="n">
        <x:v>100</x:v>
      </x:c>
      <x:c r="H25" s="46" t="n">
        <x:f>B25-C25</x:f>
        <x:v>-48.3</x:v>
      </x:c>
      <x:c r="I25" s="46" t="n">
        <x:f>LN((B25+1)/(C25+1))</x:f>
        <x:v>-0.6303041908931218</x:v>
      </x:c>
      <x:c r="J25" t="str">
        <x:f>IF(A25&lt;"1997-06","Antes","Después")</x:f>
        <x:v>Antes</x:v>
      </x:c>
      <x:c r="K25" t="str">
        <x:v>51025090</x:v>
      </x:c>
    </x:row>
    <x:row r="26">
      <x:c r="A26" t="str">
        <x:v>1986-09</x:v>
      </x:c>
      <x:c r="B26" s="44" t="n">
        <x:v>90.9</x:v>
      </x:c>
      <x:c r="C26" s="44" t="n">
        <x:v>89.9</x:v>
      </x:c>
      <x:c r="D26" t="n">
        <x:v>30</x:v>
      </x:c>
      <x:c r="E26" t="n">
        <x:v>30</x:v>
      </x:c>
      <x:c r="F26" s="46" t="n">
        <x:v>100</x:v>
      </x:c>
      <x:c r="G26" s="46" t="n">
        <x:v>100</x:v>
      </x:c>
      <x:c r="H26" s="46" t="n">
        <x:f>B26-C26</x:f>
        <x:v>1</x:v>
      </x:c>
      <x:c r="I26" s="46" t="n">
        <x:f>LN((B26+1)/(C26+1))</x:f>
        <x:v>0.010941028178208202</x:v>
      </x:c>
      <x:c r="J26" t="str">
        <x:f>IF(A26&lt;"1997-06","Antes","Después")</x:f>
        <x:v>Antes</x:v>
      </x:c>
      <x:c r="K26" t="str">
        <x:v>51025090</x:v>
      </x:c>
    </x:row>
    <x:row r="27">
      <x:c r="A27" t="str">
        <x:v>1986-10</x:v>
      </x:c>
      <x:c r="B27" s="44" t="n">
        <x:v>108.4</x:v>
      </x:c>
      <x:c r="C27" s="44" t="n">
        <x:v>180.8</x:v>
      </x:c>
      <x:c r="D27" t="n">
        <x:v>31</x:v>
      </x:c>
      <x:c r="E27" t="n">
        <x:v>31</x:v>
      </x:c>
      <x:c r="F27" s="46" t="n">
        <x:v>100</x:v>
      </x:c>
      <x:c r="G27" s="46" t="n">
        <x:v>100</x:v>
      </x:c>
      <x:c r="H27" s="46" t="n">
        <x:f>B27-C27</x:f>
        <x:v>-72.4</x:v>
      </x:c>
      <x:c r="I27" s="46" t="n">
        <x:f>LN((B27+1)/(C27+1))</x:f>
        <x:v>-0.5078962917554976</x:v>
      </x:c>
      <x:c r="J27" t="str">
        <x:f>IF(A27&lt;"1997-06","Antes","Después")</x:f>
        <x:v>Antes</x:v>
      </x:c>
      <x:c r="K27" t="str">
        <x:v>51025090</x:v>
      </x:c>
    </x:row>
    <x:row r="28">
      <x:c r="A28" t="str">
        <x:v>1986-11</x:v>
      </x:c>
      <x:c r="B28" s="44" t="n">
        <x:v>66.5</x:v>
      </x:c>
      <x:c r="C28" s="44" t="n">
        <x:v>85.3</x:v>
      </x:c>
      <x:c r="D28" t="n">
        <x:v>30</x:v>
      </x:c>
      <x:c r="E28" t="n">
        <x:v>30</x:v>
      </x:c>
      <x:c r="F28" s="46" t="n">
        <x:v>100</x:v>
      </x:c>
      <x:c r="G28" s="46" t="n">
        <x:v>100</x:v>
      </x:c>
      <x:c r="H28" s="46" t="n">
        <x:f>B28-C28</x:f>
        <x:v>-18.799999999999997</x:v>
      </x:c>
      <x:c r="I28" s="46" t="n">
        <x:f>LN((B28+1)/(C28+1))</x:f>
        <x:v>-0.24570200021089808</x:v>
      </x:c>
      <x:c r="J28" t="str">
        <x:f>IF(A28&lt;"1997-06","Antes","Después")</x:f>
        <x:v>Antes</x:v>
      </x:c>
      <x:c r="K28" t="str">
        <x:v>51025090</x:v>
      </x:c>
    </x:row>
    <x:row r="29">
      <x:c r="A29" t="str">
        <x:v>1986-12</x:v>
      </x:c>
      <x:c r="B29" s="44" t="n">
        <x:v>63</x:v>
      </x:c>
      <x:c r="C29" s="44" t="n">
        <x:v>223</x:v>
      </x:c>
      <x:c r="D29" t="n">
        <x:v>31</x:v>
      </x:c>
      <x:c r="E29" t="n">
        <x:v>31</x:v>
      </x:c>
      <x:c r="F29" s="46" t="n">
        <x:v>100</x:v>
      </x:c>
      <x:c r="G29" s="46" t="n">
        <x:v>100</x:v>
      </x:c>
      <x:c r="H29" s="46" t="n">
        <x:f>B29-C29</x:f>
        <x:v>-160</x:v>
      </x:c>
      <x:c r="I29" s="46" t="n">
        <x:f>LN((B29+1)/(C29+1))</x:f>
        <x:v>-1.252762968495368</x:v>
      </x:c>
      <x:c r="J29" t="str">
        <x:f>IF(A29&lt;"1997-06","Antes","Después")</x:f>
        <x:v>Antes</x:v>
      </x:c>
      <x:c r="K29" t="str">
        <x:v>51025090</x:v>
      </x:c>
    </x:row>
    <x:row r="30">
      <x:c r="A30" t="str">
        <x:v>1987-01</x:v>
      </x:c>
      <x:c r="B30" s="44" t="n">
        <x:v>319.9</x:v>
      </x:c>
      <x:c r="C30" s="44" t="n">
        <x:v>524.9</x:v>
      </x:c>
      <x:c r="D30" t="n">
        <x:v>31</x:v>
      </x:c>
      <x:c r="E30" t="n">
        <x:v>31</x:v>
      </x:c>
      <x:c r="F30" s="46" t="n">
        <x:v>100</x:v>
      </x:c>
      <x:c r="G30" s="46" t="n">
        <x:v>100</x:v>
      </x:c>
      <x:c r="H30" s="46" t="n">
        <x:f>B30-C30</x:f>
        <x:v>-205</x:v>
      </x:c>
      <x:c r="I30" s="46" t="n">
        <x:f>LN((B30+1)/(C30+1))</x:f>
        <x:v>-0.4939815324794874</x:v>
      </x:c>
      <x:c r="J30" t="str">
        <x:f>IF(A30&lt;"1997-06","Antes","Después")</x:f>
        <x:v>Antes</x:v>
      </x:c>
      <x:c r="K30" t="str">
        <x:v>51025090</x:v>
      </x:c>
    </x:row>
    <x:row r="31">
      <x:c r="A31" t="str">
        <x:v>1987-02</x:v>
      </x:c>
      <x:c r="B31" s="44" t="n">
        <x:v>58.4</x:v>
      </x:c>
      <x:c r="C31" s="44" t="n">
        <x:v>178.9</x:v>
      </x:c>
      <x:c r="D31" t="n">
        <x:v>28</x:v>
      </x:c>
      <x:c r="E31" t="n">
        <x:v>28</x:v>
      </x:c>
      <x:c r="F31" s="46" t="n">
        <x:v>100</x:v>
      </x:c>
      <x:c r="G31" s="46" t="n">
        <x:v>100</x:v>
      </x:c>
      <x:c r="H31" s="46" t="n">
        <x:f>B31-C31</x:f>
        <x:v>-120.5</x:v>
      </x:c>
      <x:c r="I31" s="46" t="n">
        <x:f>LN((B31+1)/(C31+1))</x:f>
        <x:v>-1.1081069145878881</x:v>
      </x:c>
      <x:c r="J31" t="str">
        <x:f>IF(A31&lt;"1997-06","Antes","Después")</x:f>
        <x:v>Antes</x:v>
      </x:c>
      <x:c r="K31" t="str">
        <x:v>51025090</x:v>
      </x:c>
    </x:row>
    <x:row r="32">
      <x:c r="A32" t="str">
        <x:v>1987-04</x:v>
      </x:c>
      <x:c r="B32" s="44" t="n">
        <x:v>375.6</x:v>
      </x:c>
      <x:c r="C32" s="44" t="n">
        <x:v>463.8</x:v>
      </x:c>
      <x:c r="D32" t="n">
        <x:v>29</x:v>
      </x:c>
      <x:c r="E32" t="n">
        <x:v>30</x:v>
      </x:c>
      <x:c r="F32" s="46" t="n">
        <x:v>96.67</x:v>
      </x:c>
      <x:c r="G32" s="46" t="n">
        <x:v>100</x:v>
      </x:c>
      <x:c r="H32" s="46" t="n">
        <x:f>B32-C32</x:f>
        <x:v>-88.19999999999999</x:v>
      </x:c>
      <x:c r="I32" s="46" t="n">
        <x:f>LN((B32+1)/(C32+1))</x:f>
        <x:v>-0.21042358931464933</x:v>
      </x:c>
      <x:c r="J32" t="str">
        <x:f>IF(A32&lt;"1997-06","Antes","Después")</x:f>
        <x:v>Antes</x:v>
      </x:c>
      <x:c r="K32" t="str">
        <x:v>51025090</x:v>
      </x:c>
    </x:row>
    <x:row r="33">
      <x:c r="A33" t="str">
        <x:v>1987-05</x:v>
      </x:c>
      <x:c r="B33" s="44" t="n">
        <x:v>363.2</x:v>
      </x:c>
      <x:c r="C33" s="44" t="n">
        <x:v>394.8</x:v>
      </x:c>
      <x:c r="D33" t="n">
        <x:v>31</x:v>
      </x:c>
      <x:c r="E33" t="n">
        <x:v>31</x:v>
      </x:c>
      <x:c r="F33" s="46" t="n">
        <x:v>100</x:v>
      </x:c>
      <x:c r="G33" s="46" t="n">
        <x:v>100</x:v>
      </x:c>
      <x:c r="H33" s="46" t="n">
        <x:f>B33-C33</x:f>
        <x:v>-31.600000000000023</x:v>
      </x:c>
      <x:c r="I33" s="46" t="n">
        <x:f>LN((B33+1)/(C33+1))</x:f>
        <x:v>-0.08320586587495785</x:v>
      </x:c>
      <x:c r="J33" t="str">
        <x:f>IF(A33&lt;"1997-06","Antes","Después")</x:f>
        <x:v>Antes</x:v>
      </x:c>
      <x:c r="K33" t="str">
        <x:v>51025090</x:v>
      </x:c>
    </x:row>
    <x:row r="34">
      <x:c r="A34" t="str">
        <x:v>1987-06</x:v>
      </x:c>
      <x:c r="B34" s="44" t="n">
        <x:v>50.1</x:v>
      </x:c>
      <x:c r="C34" s="44" t="n">
        <x:v>134.6</x:v>
      </x:c>
      <x:c r="D34" t="n">
        <x:v>30</x:v>
      </x:c>
      <x:c r="E34" t="n">
        <x:v>30</x:v>
      </x:c>
      <x:c r="F34" s="46" t="n">
        <x:v>100</x:v>
      </x:c>
      <x:c r="G34" s="46" t="n">
        <x:v>100</x:v>
      </x:c>
      <x:c r="H34" s="46" t="n">
        <x:f>B34-C34</x:f>
        <x:v>-84.5</x:v>
      </x:c>
      <x:c r="I34" s="46" t="n">
        <x:f>LN((B34+1)/(C34+1))</x:f>
        <x:v>-0.9759248782966364</x:v>
      </x:c>
      <x:c r="J34" t="str">
        <x:f>IF(A34&lt;"1997-06","Antes","Después")</x:f>
        <x:v>Antes</x:v>
      </x:c>
      <x:c r="K34" t="str">
        <x:v>51025090</x:v>
      </x:c>
    </x:row>
    <x:row r="35">
      <x:c r="A35" t="str">
        <x:v>1987-07</x:v>
      </x:c>
      <x:c r="B35" s="44" t="n">
        <x:v>132.9</x:v>
      </x:c>
      <x:c r="C35" s="44" t="n">
        <x:v>422.9</x:v>
      </x:c>
      <x:c r="D35" t="n">
        <x:v>31</x:v>
      </x:c>
      <x:c r="E35" t="n">
        <x:v>31</x:v>
      </x:c>
      <x:c r="F35" s="46" t="n">
        <x:v>100</x:v>
      </x:c>
      <x:c r="G35" s="46" t="n">
        <x:v>100</x:v>
      </x:c>
      <x:c r="H35" s="46" t="n">
        <x:f>B35-C35</x:f>
        <x:v>-290</x:v>
      </x:c>
      <x:c r="I35" s="46" t="n">
        <x:f>LN((B35+1)/(C35+1))</x:f>
        <x:v>-1.1524043256614647</x:v>
      </x:c>
      <x:c r="J35" t="str">
        <x:f>IF(A35&lt;"1997-06","Antes","Después")</x:f>
        <x:v>Antes</x:v>
      </x:c>
      <x:c r="K35" t="str">
        <x:v>51025090</x:v>
      </x:c>
    </x:row>
    <x:row r="36">
      <x:c r="A36" t="str">
        <x:v>1987-08</x:v>
      </x:c>
      <x:c r="B36" s="44" t="n">
        <x:v>307.7</x:v>
      </x:c>
      <x:c r="C36" s="44" t="n">
        <x:v>431.7</x:v>
      </x:c>
      <x:c r="D36" t="n">
        <x:v>31</x:v>
      </x:c>
      <x:c r="E36" t="n">
        <x:v>31</x:v>
      </x:c>
      <x:c r="F36" s="46" t="n">
        <x:v>100</x:v>
      </x:c>
      <x:c r="G36" s="46" t="n">
        <x:v>100</x:v>
      </x:c>
      <x:c r="H36" s="46" t="n">
        <x:f>B36-C36</x:f>
        <x:v>-124</x:v>
      </x:c>
      <x:c r="I36" s="46" t="n">
        <x:f>LN((B36+1)/(C36+1))</x:f>
        <x:v>-0.33767471572272556</x:v>
      </x:c>
      <x:c r="J36" t="str">
        <x:f>IF(A36&lt;"1997-06","Antes","Después")</x:f>
        <x:v>Antes</x:v>
      </x:c>
      <x:c r="K36" t="str">
        <x:v>51025090</x:v>
      </x:c>
    </x:row>
    <x:row r="37">
      <x:c r="A37" t="str">
        <x:v>1987-09</x:v>
      </x:c>
      <x:c r="B37" s="44" t="n">
        <x:v>85.1</x:v>
      </x:c>
      <x:c r="C37" s="44" t="n">
        <x:v>104.7</x:v>
      </x:c>
      <x:c r="D37" t="n">
        <x:v>30</x:v>
      </x:c>
      <x:c r="E37" t="n">
        <x:v>30</x:v>
      </x:c>
      <x:c r="F37" s="46" t="n">
        <x:v>100</x:v>
      </x:c>
      <x:c r="G37" s="46" t="n">
        <x:v>100</x:v>
      </x:c>
      <x:c r="H37" s="46" t="n">
        <x:f>B37-C37</x:f>
        <x:v>-19.60000000000001</x:v>
      </x:c>
      <x:c r="I37" s="46" t="n">
        <x:f>LN((B37+1)/(C37+1))</x:f>
        <x:v>-0.20509548144250692</x:v>
      </x:c>
      <x:c r="J37" t="str">
        <x:f>IF(A37&lt;"1997-06","Antes","Después")</x:f>
        <x:v>Antes</x:v>
      </x:c>
      <x:c r="K37" t="str">
        <x:v>51025090</x:v>
      </x:c>
    </x:row>
    <x:row r="38">
      <x:c r="A38" t="str">
        <x:v>1987-10</x:v>
      </x:c>
      <x:c r="B38" s="44" t="n">
        <x:v>123</x:v>
      </x:c>
      <x:c r="C38" s="44" t="n">
        <x:v>203.9</x:v>
      </x:c>
      <x:c r="D38" t="n">
        <x:v>31</x:v>
      </x:c>
      <x:c r="E38" t="n">
        <x:v>31</x:v>
      </x:c>
      <x:c r="F38" s="46" t="n">
        <x:v>100</x:v>
      </x:c>
      <x:c r="G38" s="46" t="n">
        <x:v>100</x:v>
      </x:c>
      <x:c r="H38" s="46" t="n">
        <x:f>B38-C38</x:f>
        <x:v>-80.9</x:v>
      </x:c>
      <x:c r="I38" s="46" t="n">
        <x:f>LN((B38+1)/(C38+1))</x:f>
        <x:v>-0.5022404896398172</x:v>
      </x:c>
      <x:c r="J38" t="str">
        <x:f>IF(A38&lt;"1997-06","Antes","Después")</x:f>
        <x:v>Antes</x:v>
      </x:c>
      <x:c r="K38" t="str">
        <x:v>51025090</x:v>
      </x:c>
    </x:row>
    <x:row r="39">
      <x:c r="A39" t="str">
        <x:v>1987-11</x:v>
      </x:c>
      <x:c r="B39" s="44" t="n">
        <x:v>32.9</x:v>
      </x:c>
      <x:c r="C39" s="44" t="n">
        <x:v>47.4</x:v>
      </x:c>
      <x:c r="D39" t="n">
        <x:v>30</x:v>
      </x:c>
      <x:c r="E39" t="n">
        <x:v>30</x:v>
      </x:c>
      <x:c r="F39" s="46" t="n">
        <x:v>100</x:v>
      </x:c>
      <x:c r="G39" s="46" t="n">
        <x:v>100</x:v>
      </x:c>
      <x:c r="H39" s="46" t="n">
        <x:f>B39-C39</x:f>
        <x:v>-14.5</x:v>
      </x:c>
      <x:c r="I39" s="46" t="n">
        <x:f>LN((B39+1)/(C39+1))</x:f>
        <x:v>-0.35608479933618153</x:v>
      </x:c>
      <x:c r="J39" t="str">
        <x:f>IF(A39&lt;"1997-06","Antes","Después")</x:f>
        <x:v>Antes</x:v>
      </x:c>
      <x:c r="K39" t="str">
        <x:v>51025090</x:v>
      </x:c>
    </x:row>
    <x:row r="40">
      <x:c r="A40" t="str">
        <x:v>1987-12</x:v>
      </x:c>
      <x:c r="B40" s="44" t="n">
        <x:v>47.2</x:v>
      </x:c>
      <x:c r="C40" s="44" t="n">
        <x:v>241.4</x:v>
      </x:c>
      <x:c r="D40" t="n">
        <x:v>31</x:v>
      </x:c>
      <x:c r="E40" t="n">
        <x:v>31</x:v>
      </x:c>
      <x:c r="F40" s="46" t="n">
        <x:v>100</x:v>
      </x:c>
      <x:c r="G40" s="46" t="n">
        <x:v>100</x:v>
      </x:c>
      <x:c r="H40" s="46" t="n">
        <x:f>B40-C40</x:f>
        <x:v>-194.2</x:v>
      </x:c>
      <x:c r="I40" s="46" t="n">
        <x:f>LN((B40+1)/(C40+1))</x:f>
        <x:v>-1.6152302331386046</x:v>
      </x:c>
      <x:c r="J40" t="str">
        <x:f>IF(A40&lt;"1997-06","Antes","Después")</x:f>
        <x:v>Antes</x:v>
      </x:c>
      <x:c r="K40" t="str">
        <x:v>51025090</x:v>
      </x:c>
    </x:row>
    <x:row r="41">
      <x:c r="A41" t="str">
        <x:v>1988-01</x:v>
      </x:c>
      <x:c r="B41" s="44" t="n">
        <x:v>32.4</x:v>
      </x:c>
      <x:c r="C41" s="44" t="n">
        <x:v>459.1</x:v>
      </x:c>
      <x:c r="D41" t="n">
        <x:v>31</x:v>
      </x:c>
      <x:c r="E41" t="n">
        <x:v>31</x:v>
      </x:c>
      <x:c r="F41" s="46" t="n">
        <x:v>100</x:v>
      </x:c>
      <x:c r="G41" s="46" t="n">
        <x:v>100</x:v>
      </x:c>
      <x:c r="H41" s="46" t="n">
        <x:f>B41-C41</x:f>
        <x:v>-426.70000000000005</x:v>
      </x:c>
      <x:c r="I41" s="46" t="n">
        <x:f>LN((B41+1)/(C41+1))</x:f>
        <x:v>-2.622887957178768</x:v>
      </x:c>
      <x:c r="J41" t="str">
        <x:f>IF(A41&lt;"1997-06","Antes","Después")</x:f>
        <x:v>Antes</x:v>
      </x:c>
      <x:c r="K41" t="str">
        <x:v>51025090</x:v>
      </x:c>
    </x:row>
    <x:row r="42">
      <x:c r="A42" t="str">
        <x:v>1988-02</x:v>
      </x:c>
      <x:c r="B42" s="44" t="n">
        <x:v>127.7</x:v>
      </x:c>
      <x:c r="C42" s="44" t="n">
        <x:v>404.4</x:v>
      </x:c>
      <x:c r="D42" t="n">
        <x:v>29</x:v>
      </x:c>
      <x:c r="E42" t="n">
        <x:v>29</x:v>
      </x:c>
      <x:c r="F42" s="46" t="n">
        <x:v>100</x:v>
      </x:c>
      <x:c r="G42" s="46" t="n">
        <x:v>100</x:v>
      </x:c>
      <x:c r="H42" s="46" t="n">
        <x:f>B42-C42</x:f>
        <x:v>-276.7</x:v>
      </x:c>
      <x:c r="I42" s="46" t="n">
        <x:f>LN((B42+1)/(C42+1))</x:f>
        <x:v>-1.1473901194158187</x:v>
      </x:c>
      <x:c r="J42" t="str">
        <x:f>IF(A42&lt;"1997-06","Antes","Después")</x:f>
        <x:v>Antes</x:v>
      </x:c>
      <x:c r="K42" t="str">
        <x:v>51025090</x:v>
      </x:c>
    </x:row>
    <x:row r="43">
      <x:c r="A43" t="str">
        <x:v>1988-03</x:v>
      </x:c>
      <x:c r="B43" s="44" t="n">
        <x:v>50.2</x:v>
      </x:c>
      <x:c r="C43" s="44" t="n">
        <x:v>52.5</x:v>
      </x:c>
      <x:c r="D43" t="n">
        <x:v>31</x:v>
      </x:c>
      <x:c r="E43" t="n">
        <x:v>31</x:v>
      </x:c>
      <x:c r="F43" s="46" t="n">
        <x:v>100</x:v>
      </x:c>
      <x:c r="G43" s="46" t="n">
        <x:v>100</x:v>
      </x:c>
      <x:c r="H43" s="46" t="n">
        <x:f>B43-C43</x:f>
        <x:v>-2.299999999999997</x:v>
      </x:c>
      <x:c r="I43" s="46" t="n">
        <x:f>LN((B43+1)/(C43+1))</x:f>
        <x:v>-0.04394212185649872</x:v>
      </x:c>
      <x:c r="J43" t="str">
        <x:f>IF(A43&lt;"1997-06","Antes","Después")</x:f>
        <x:v>Antes</x:v>
      </x:c>
      <x:c r="K43" t="str">
        <x:v>51025090</x:v>
      </x:c>
    </x:row>
    <x:row r="44">
      <x:c r="A44" t="str">
        <x:v>1988-04</x:v>
      </x:c>
      <x:c r="B44" s="44" t="n">
        <x:v>394.5</x:v>
      </x:c>
      <x:c r="C44" s="44" t="n">
        <x:v>563.1</x:v>
      </x:c>
      <x:c r="D44" t="n">
        <x:v>30</x:v>
      </x:c>
      <x:c r="E44" t="n">
        <x:v>30</x:v>
      </x:c>
      <x:c r="F44" s="46" t="n">
        <x:v>100</x:v>
      </x:c>
      <x:c r="G44" s="46" t="n">
        <x:v>100</x:v>
      </x:c>
      <x:c r="H44" s="46" t="n">
        <x:f>B44-C44</x:f>
        <x:v>-168.60000000000002</x:v>
      </x:c>
      <x:c r="I44" s="46" t="n">
        <x:f>LN((B44+1)/(C44+1))</x:f>
        <x:v>-0.3550807535382219</x:v>
      </x:c>
      <x:c r="J44" t="str">
        <x:f>IF(A44&lt;"1997-06","Antes","Después")</x:f>
        <x:v>Antes</x:v>
      </x:c>
      <x:c r="K44" t="str">
        <x:v>51025090</x:v>
      </x:c>
    </x:row>
    <x:row r="45">
      <x:c r="A45" t="str">
        <x:v>1988-05</x:v>
      </x:c>
      <x:c r="B45" s="44" t="n">
        <x:v>363.1</x:v>
      </x:c>
      <x:c r="C45" s="44" t="n">
        <x:v>605.8</x:v>
      </x:c>
      <x:c r="D45" t="n">
        <x:v>31</x:v>
      </x:c>
      <x:c r="E45" t="n">
        <x:v>31</x:v>
      </x:c>
      <x:c r="F45" s="46" t="n">
        <x:v>100</x:v>
      </x:c>
      <x:c r="G45" s="46" t="n">
        <x:v>100</x:v>
      </x:c>
      <x:c r="H45" s="46" t="n">
        <x:f>B45-C45</x:f>
        <x:v>-242.69999999999993</x:v>
      </x:c>
      <x:c r="I45" s="46" t="n">
        <x:f>LN((B45+1)/(C45+1))</x:f>
        <x:v>-0.5107706922929892</x:v>
      </x:c>
      <x:c r="J45" t="str">
        <x:f>IF(A45&lt;"1997-06","Antes","Después")</x:f>
        <x:v>Antes</x:v>
      </x:c>
      <x:c r="K45" t="str">
        <x:v>51025090</x:v>
      </x:c>
    </x:row>
    <x:row r="46">
      <x:c r="A46" t="str">
        <x:v>1988-06</x:v>
      </x:c>
      <x:c r="B46" s="44" t="n">
        <x:v>73.3</x:v>
      </x:c>
      <x:c r="C46" s="44" t="n">
        <x:v>368.5</x:v>
      </x:c>
      <x:c r="D46" t="n">
        <x:v>29</x:v>
      </x:c>
      <x:c r="E46" t="n">
        <x:v>30</x:v>
      </x:c>
      <x:c r="F46" s="46" t="n">
        <x:v>96.67</x:v>
      </x:c>
      <x:c r="G46" s="46" t="n">
        <x:v>100</x:v>
      </x:c>
      <x:c r="H46" s="46" t="n">
        <x:f>B46-C46</x:f>
        <x:v>-295.2</x:v>
      </x:c>
      <x:c r="I46" s="46" t="n">
        <x:f>LN((B46+1)/(C46+1))</x:f>
        <x:v>-1.604039788664543</x:v>
      </x:c>
      <x:c r="J46" t="str">
        <x:f>IF(A46&lt;"1997-06","Antes","Después")</x:f>
        <x:v>Antes</x:v>
      </x:c>
      <x:c r="K46" t="str">
        <x:v>51025090</x:v>
      </x:c>
    </x:row>
    <x:row r="47">
      <x:c r="A47" t="str">
        <x:v>1988-07</x:v>
      </x:c>
      <x:c r="B47" s="44" t="n">
        <x:v>76.1</x:v>
      </x:c>
      <x:c r="C47" s="44" t="n">
        <x:v>140</x:v>
      </x:c>
      <x:c r="D47" t="n">
        <x:v>31</x:v>
      </x:c>
      <x:c r="E47" t="n">
        <x:v>31</x:v>
      </x:c>
      <x:c r="F47" s="46" t="n">
        <x:v>100</x:v>
      </x:c>
      <x:c r="G47" s="46" t="n">
        <x:v>100</x:v>
      </x:c>
      <x:c r="H47" s="46" t="n">
        <x:f>B47-C47</x:f>
        <x:v>-63.900000000000006</x:v>
      </x:c>
      <x:c r="I47" s="46" t="n">
        <x:f>LN((B47+1)/(C47+1))</x:f>
        <x:v>-0.6036566098088846</x:v>
      </x:c>
      <x:c r="J47" t="str">
        <x:f>IF(A47&lt;"1997-06","Antes","Después")</x:f>
        <x:v>Antes</x:v>
      </x:c>
      <x:c r="K47" t="str">
        <x:v>51025090</x:v>
      </x:c>
    </x:row>
    <x:row r="48">
      <x:c r="A48" t="str">
        <x:v>1988-08</x:v>
      </x:c>
      <x:c r="B48" s="44" t="n">
        <x:v>57</x:v>
      </x:c>
      <x:c r="C48" s="44" t="n">
        <x:v>111.8</x:v>
      </x:c>
      <x:c r="D48" t="n">
        <x:v>30</x:v>
      </x:c>
      <x:c r="E48" t="n">
        <x:v>31</x:v>
      </x:c>
      <x:c r="F48" s="46" t="n">
        <x:v>96.77</x:v>
      </x:c>
      <x:c r="G48" s="46" t="n">
        <x:v>100</x:v>
      </x:c>
      <x:c r="H48" s="46" t="n">
        <x:f>B48-C48</x:f>
        <x:v>-54.8</x:v>
      </x:c>
      <x:c r="I48" s="46" t="n">
        <x:f>LN((B48+1)/(C48+1))</x:f>
        <x:v>-0.6651733285175392</x:v>
      </x:c>
      <x:c r="J48" t="str">
        <x:f>IF(A48&lt;"1997-06","Antes","Después")</x:f>
        <x:v>Antes</x:v>
      </x:c>
      <x:c r="K48" t="str">
        <x:v>51025090</x:v>
      </x:c>
    </x:row>
    <x:row r="49">
      <x:c r="A49" t="str">
        <x:v>1988-09</x:v>
      </x:c>
      <x:c r="B49" s="44" t="n">
        <x:v>28</x:v>
      </x:c>
      <x:c r="C49" s="44" t="n">
        <x:v>115.5</x:v>
      </x:c>
      <x:c r="D49" t="n">
        <x:v>30</x:v>
      </x:c>
      <x:c r="E49" t="n">
        <x:v>30</x:v>
      </x:c>
      <x:c r="F49" s="46" t="n">
        <x:v>100</x:v>
      </x:c>
      <x:c r="G49" s="46" t="n">
        <x:v>100</x:v>
      </x:c>
      <x:c r="H49" s="46" t="n">
        <x:f>B49-C49</x:f>
        <x:v>-87.5</x:v>
      </x:c>
      <x:c r="I49" s="46" t="n">
        <x:f>LN((B49+1)/(C49+1))</x:f>
        <x:v>-1.3905954430192813</x:v>
      </x:c>
      <x:c r="J49" t="str">
        <x:f>IF(A49&lt;"1997-06","Antes","Después")</x:f>
        <x:v>Antes</x:v>
      </x:c>
      <x:c r="K49" t="str">
        <x:v>51025090</x:v>
      </x:c>
    </x:row>
    <x:row r="50">
      <x:c r="A50" t="str">
        <x:v>1988-10</x:v>
      </x:c>
      <x:c r="B50" s="44" t="n">
        <x:v>34.5</x:v>
      </x:c>
      <x:c r="C50" s="44" t="n">
        <x:v>110.5</x:v>
      </x:c>
      <x:c r="D50" t="n">
        <x:v>31</x:v>
      </x:c>
      <x:c r="E50" t="n">
        <x:v>31</x:v>
      </x:c>
      <x:c r="F50" s="46" t="n">
        <x:v>100</x:v>
      </x:c>
      <x:c r="G50" s="46" t="n">
        <x:v>100</x:v>
      </x:c>
      <x:c r="H50" s="46" t="n">
        <x:f>B50-C50</x:f>
        <x:v>-76</x:v>
      </x:c>
      <x:c r="I50" s="46" t="n">
        <x:f>LN((B50+1)/(C50+1))</x:f>
        <x:v>-1.1444918944188034</x:v>
      </x:c>
      <x:c r="J50" t="str">
        <x:f>IF(A50&lt;"1997-06","Antes","Después")</x:f>
        <x:v>Antes</x:v>
      </x:c>
      <x:c r="K50" t="str">
        <x:v>51025090</x:v>
      </x:c>
    </x:row>
    <x:row r="51">
      <x:c r="A51" t="str">
        <x:v>1988-11</x:v>
      </x:c>
      <x:c r="B51" s="44" t="n">
        <x:v>43.3</x:v>
      </x:c>
      <x:c r="C51" s="44" t="n">
        <x:v>186.3</x:v>
      </x:c>
      <x:c r="D51" t="n">
        <x:v>30</x:v>
      </x:c>
      <x:c r="E51" t="n">
        <x:v>30</x:v>
      </x:c>
      <x:c r="F51" s="46" t="n">
        <x:v>100</x:v>
      </x:c>
      <x:c r="G51" s="46" t="n">
        <x:v>100</x:v>
      </x:c>
      <x:c r="H51" s="46" t="n">
        <x:f>B51-C51</x:f>
        <x:v>-143</x:v>
      </x:c>
      <x:c r="I51" s="46" t="n">
        <x:f>LN((B51+1)/(C51+1))</x:f>
        <x:v>-1.441726932398953</x:v>
      </x:c>
      <x:c r="J51" t="str">
        <x:f>IF(A51&lt;"1997-06","Antes","Después")</x:f>
        <x:v>Antes</x:v>
      </x:c>
      <x:c r="K51" t="str">
        <x:v>51025090</x:v>
      </x:c>
    </x:row>
    <x:row r="52">
      <x:c r="A52" t="str">
        <x:v>1988-12</x:v>
      </x:c>
      <x:c r="B52" s="44" t="n">
        <x:v>53.9</x:v>
      </x:c>
      <x:c r="C52" s="44" t="n">
        <x:v>210.4</x:v>
      </x:c>
      <x:c r="D52" t="n">
        <x:v>31</x:v>
      </x:c>
      <x:c r="E52" t="n">
        <x:v>31</x:v>
      </x:c>
      <x:c r="F52" s="46" t="n">
        <x:v>100</x:v>
      </x:c>
      <x:c r="G52" s="46" t="n">
        <x:v>100</x:v>
      </x:c>
      <x:c r="H52" s="46" t="n">
        <x:f>B52-C52</x:f>
        <x:v>-156.5</x:v>
      </x:c>
      <x:c r="I52" s="46" t="n">
        <x:f>LN((B52+1)/(C52+1))</x:f>
        <x:v>-1.3482387249206522</x:v>
      </x:c>
      <x:c r="J52" t="str">
        <x:f>IF(A52&lt;"1997-06","Antes","Después")</x:f>
        <x:v>Antes</x:v>
      </x:c>
      <x:c r="K52" t="str">
        <x:v>51025090</x:v>
      </x:c>
    </x:row>
    <x:row r="53">
      <x:c r="A53" t="str">
        <x:v>1989-01</x:v>
      </x:c>
      <x:c r="B53" s="44" t="n">
        <x:v>97.6</x:v>
      </x:c>
      <x:c r="C53" s="44" t="n">
        <x:v>570</x:v>
      </x:c>
      <x:c r="D53" t="n">
        <x:v>31</x:v>
      </x:c>
      <x:c r="E53" t="n">
        <x:v>31</x:v>
      </x:c>
      <x:c r="F53" s="46" t="n">
        <x:v>100</x:v>
      </x:c>
      <x:c r="G53" s="46" t="n">
        <x:v>100</x:v>
      </x:c>
      <x:c r="H53" s="46" t="n">
        <x:f>B53-C53</x:f>
        <x:v>-472.4</x:v>
      </x:c>
      <x:c r="I53" s="46" t="n">
        <x:f>LN((B53+1)/(C53+1))</x:f>
        <x:v>-1.7563179480474205</x:v>
      </x:c>
      <x:c r="J53" t="str">
        <x:f>IF(A53&lt;"1997-06","Antes","Después")</x:f>
        <x:v>Antes</x:v>
      </x:c>
      <x:c r="K53" t="str">
        <x:v>51025090</x:v>
      </x:c>
    </x:row>
    <x:row r="54">
      <x:c r="A54" t="str">
        <x:v>1989-02</x:v>
      </x:c>
      <x:c r="B54" s="44" t="n">
        <x:v>133.5</x:v>
      </x:c>
      <x:c r="C54" s="44" t="n">
        <x:v>261.5</x:v>
      </x:c>
      <x:c r="D54" t="n">
        <x:v>28</x:v>
      </x:c>
      <x:c r="E54" t="n">
        <x:v>28</x:v>
      </x:c>
      <x:c r="F54" s="46" t="n">
        <x:v>100</x:v>
      </x:c>
      <x:c r="G54" s="46" t="n">
        <x:v>100</x:v>
      </x:c>
      <x:c r="H54" s="46" t="n">
        <x:f>B54-C54</x:f>
        <x:v>-128</x:v>
      </x:c>
      <x:c r="I54" s="46" t="n">
        <x:f>LN((B54+1)/(C54+1))</x:f>
        <x:v>-0.6686868829897846</x:v>
      </x:c>
      <x:c r="J54" t="str">
        <x:f>IF(A54&lt;"1997-06","Antes","Después")</x:f>
        <x:v>Antes</x:v>
      </x:c>
      <x:c r="K54" t="str">
        <x:v>51025090</x:v>
      </x:c>
    </x:row>
    <x:row r="55">
      <x:c r="A55" t="str">
        <x:v>1989-03</x:v>
      </x:c>
      <x:c r="B55" s="44" t="n">
        <x:v>1.1</x:v>
      </x:c>
      <x:c r="C55" s="44" t="n">
        <x:v>50.7</x:v>
      </x:c>
      <x:c r="D55" t="n">
        <x:v>31</x:v>
      </x:c>
      <x:c r="E55" t="n">
        <x:v>31</x:v>
      </x:c>
      <x:c r="F55" s="46" t="n">
        <x:v>100</x:v>
      </x:c>
      <x:c r="G55" s="46" t="n">
        <x:v>100</x:v>
      </x:c>
      <x:c r="H55" s="46" t="n">
        <x:f>B55-C55</x:f>
        <x:v>-49.6</x:v>
      </x:c>
      <x:c r="I55" s="46" t="n">
        <x:f>LN((B55+1)/(C55+1))</x:f>
        <x:v>-3.203520436785006</x:v>
      </x:c>
      <x:c r="J55" t="str">
        <x:f>IF(A55&lt;"1997-06","Antes","Después")</x:f>
        <x:v>Antes</x:v>
      </x:c>
      <x:c r="K55" t="str">
        <x:v>51025090</x:v>
      </x:c>
    </x:row>
    <x:row r="56">
      <x:c r="A56" t="str">
        <x:v>1989-04</x:v>
      </x:c>
      <x:c r="B56" s="44" t="n">
        <x:v>177.4</x:v>
      </x:c>
      <x:c r="C56" s="44" t="n">
        <x:v>293.3</x:v>
      </x:c>
      <x:c r="D56" t="n">
        <x:v>28</x:v>
      </x:c>
      <x:c r="E56" t="n">
        <x:v>30</x:v>
      </x:c>
      <x:c r="F56" s="46" t="n">
        <x:v>93.33</x:v>
      </x:c>
      <x:c r="G56" s="46" t="n">
        <x:v>100</x:v>
      </x:c>
      <x:c r="H56" s="46" t="n">
        <x:f>B56-C56</x:f>
        <x:v>-115.9</x:v>
      </x:c>
      <x:c r="I56" s="46" t="n">
        <x:f>LN((B56+1)/(C56+1))</x:f>
        <x:v>-0.5005714350935181</x:v>
      </x:c>
      <x:c r="J56" t="str">
        <x:f>IF(A56&lt;"1997-06","Antes","Después")</x:f>
        <x:v>Antes</x:v>
      </x:c>
      <x:c r="K56" t="str">
        <x:v>51025090</x:v>
      </x:c>
    </x:row>
    <x:row r="57">
      <x:c r="A57" t="str">
        <x:v>1989-05</x:v>
      </x:c>
      <x:c r="B57" s="44" t="n">
        <x:v>290.3</x:v>
      </x:c>
      <x:c r="C57" s="44" t="n">
        <x:v>485.3</x:v>
      </x:c>
      <x:c r="D57" t="n">
        <x:v>31</x:v>
      </x:c>
      <x:c r="E57" t="n">
        <x:v>31</x:v>
      </x:c>
      <x:c r="F57" s="46" t="n">
        <x:v>100</x:v>
      </x:c>
      <x:c r="G57" s="46" t="n">
        <x:v>100</x:v>
      </x:c>
      <x:c r="H57" s="46" t="n">
        <x:f>B57-C57</x:f>
        <x:v>-195</x:v>
      </x:c>
      <x:c r="I57" s="46" t="n">
        <x:f>LN((B57+1)/(C57+1))</x:f>
        <x:v>-0.5124720534443512</x:v>
      </x:c>
      <x:c r="J57" t="str">
        <x:f>IF(A57&lt;"1997-06","Antes","Después")</x:f>
        <x:v>Antes</x:v>
      </x:c>
      <x:c r="K57" t="str">
        <x:v>51025090</x:v>
      </x:c>
    </x:row>
    <x:row r="58">
      <x:c r="A58" t="str">
        <x:v>1989-06</x:v>
      </x:c>
      <x:c r="B58" s="44" t="n">
        <x:v>111.9</x:v>
      </x:c>
      <x:c r="C58" s="44" t="n">
        <x:v>274.3</x:v>
      </x:c>
      <x:c r="D58" t="n">
        <x:v>30</x:v>
      </x:c>
      <x:c r="E58" t="n">
        <x:v>30</x:v>
      </x:c>
      <x:c r="F58" s="46" t="n">
        <x:v>100</x:v>
      </x:c>
      <x:c r="G58" s="46" t="n">
        <x:v>100</x:v>
      </x:c>
      <x:c r="H58" s="46" t="n">
        <x:f>B58-C58</x:f>
        <x:v>-162.4</x:v>
      </x:c>
      <x:c r="I58" s="46" t="n">
        <x:f>LN((B58+1)/(C58+1))</x:f>
        <x:v>-0.8913589409929452</x:v>
      </x:c>
      <x:c r="J58" t="str">
        <x:f>IF(A58&lt;"1997-06","Antes","Después")</x:f>
        <x:v>Antes</x:v>
      </x:c>
      <x:c r="K58" t="str">
        <x:v>51025090</x:v>
      </x:c>
    </x:row>
    <x:row r="59">
      <x:c r="A59" t="str">
        <x:v>1989-07</x:v>
      </x:c>
      <x:c r="B59" s="44" t="n">
        <x:v>52.8</x:v>
      </x:c>
      <x:c r="C59" s="44" t="n">
        <x:v>86.8</x:v>
      </x:c>
      <x:c r="D59" t="n">
        <x:v>31</x:v>
      </x:c>
      <x:c r="E59" t="n">
        <x:v>31</x:v>
      </x:c>
      <x:c r="F59" s="46" t="n">
        <x:v>100</x:v>
      </x:c>
      <x:c r="G59" s="46" t="n">
        <x:v>100</x:v>
      </x:c>
      <x:c r="H59" s="46" t="n">
        <x:f>B59-C59</x:f>
        <x:v>-34</x:v>
      </x:c>
      <x:c r="I59" s="46" t="n">
        <x:f>LN((B59+1)/(C59+1))</x:f>
        <x:v>-0.48978803347333233</x:v>
      </x:c>
      <x:c r="J59" t="str">
        <x:f>IF(A59&lt;"1997-06","Antes","Después")</x:f>
        <x:v>Antes</x:v>
      </x:c>
      <x:c r="K59" t="str">
        <x:v>51025090</x:v>
      </x:c>
    </x:row>
    <x:row r="60">
      <x:c r="A60" t="str">
        <x:v>1989-08</x:v>
      </x:c>
      <x:c r="B60" s="44" t="n">
        <x:v>55.2</x:v>
      </x:c>
      <x:c r="C60" s="44" t="n">
        <x:v>122.9</x:v>
      </x:c>
      <x:c r="D60" t="n">
        <x:v>31</x:v>
      </x:c>
      <x:c r="E60" t="n">
        <x:v>31</x:v>
      </x:c>
      <x:c r="F60" s="46" t="n">
        <x:v>100</x:v>
      </x:c>
      <x:c r="G60" s="46" t="n">
        <x:v>100</x:v>
      </x:c>
      <x:c r="H60" s="46" t="n">
        <x:f>B60-C60</x:f>
        <x:v>-67.7</x:v>
      </x:c>
      <x:c r="I60" s="46" t="n">
        <x:f>LN((B60+1)/(C60+1))</x:f>
        <x:v>-0.7905580317354514</x:v>
      </x:c>
      <x:c r="J60" t="str">
        <x:f>IF(A60&lt;"1997-06","Antes","Después")</x:f>
        <x:v>Antes</x:v>
      </x:c>
      <x:c r="K60" t="str">
        <x:v>51025090</x:v>
      </x:c>
    </x:row>
    <x:row r="61">
      <x:c r="A61" t="str">
        <x:v>1989-09</x:v>
      </x:c>
      <x:c r="B61" s="44" t="n">
        <x:v>49</x:v>
      </x:c>
      <x:c r="C61" s="44" t="n">
        <x:v>171.5</x:v>
      </x:c>
      <x:c r="D61" t="n">
        <x:v>27</x:v>
      </x:c>
      <x:c r="E61" t="n">
        <x:v>30</x:v>
      </x:c>
      <x:c r="F61" s="46" t="n">
        <x:v>90</x:v>
      </x:c>
      <x:c r="G61" s="46" t="n">
        <x:v>100</x:v>
      </x:c>
      <x:c r="H61" s="46" t="n">
        <x:f>B61-C61</x:f>
        <x:v>-122.5</x:v>
      </x:c>
      <x:c r="I61" s="46" t="n">
        <x:f>LN((B61+1)/(C61+1))</x:f>
        <x:v>-1.2383742310432684</x:v>
      </x:c>
      <x:c r="J61" t="str">
        <x:f>IF(A61&lt;"1997-06","Antes","Después")</x:f>
        <x:v>Antes</x:v>
      </x:c>
      <x:c r="K61" t="str">
        <x:v>51025090</x:v>
      </x:c>
    </x:row>
    <x:row r="62">
      <x:c r="A62" t="str">
        <x:v>1989-10</x:v>
      </x:c>
      <x:c r="B62" s="44" t="n">
        <x:v>116.5</x:v>
      </x:c>
      <x:c r="C62" s="44" t="n">
        <x:v>199.8</x:v>
      </x:c>
      <x:c r="D62" t="n">
        <x:v>31</x:v>
      </x:c>
      <x:c r="E62" t="n">
        <x:v>31</x:v>
      </x:c>
      <x:c r="F62" s="46" t="n">
        <x:v>100</x:v>
      </x:c>
      <x:c r="G62" s="46" t="n">
        <x:v>100</x:v>
      </x:c>
      <x:c r="H62" s="46" t="n">
        <x:f>B62-C62</x:f>
        <x:v>-83.30000000000001</x:v>
      </x:c>
      <x:c r="I62" s="46" t="n">
        <x:f>LN((B62+1)/(C62+1))</x:f>
        <x:v>-0.5358710542333606</x:v>
      </x:c>
      <x:c r="J62" t="str">
        <x:f>IF(A62&lt;"1997-06","Antes","Después")</x:f>
        <x:v>Antes</x:v>
      </x:c>
      <x:c r="K62" t="str">
        <x:v>51025090</x:v>
      </x:c>
    </x:row>
    <x:row r="63">
      <x:c r="A63" t="str">
        <x:v>1989-11</x:v>
      </x:c>
      <x:c r="B63" s="44" t="n">
        <x:v>61.9</x:v>
      </x:c>
      <x:c r="C63" s="44" t="n">
        <x:v>103.5</x:v>
      </x:c>
      <x:c r="D63" t="n">
        <x:v>30</x:v>
      </x:c>
      <x:c r="E63" t="n">
        <x:v>30</x:v>
      </x:c>
      <x:c r="F63" s="46" t="n">
        <x:v>100</x:v>
      </x:c>
      <x:c r="G63" s="46" t="n">
        <x:v>100</x:v>
      </x:c>
      <x:c r="H63" s="46" t="n">
        <x:f>B63-C63</x:f>
        <x:v>-41.6</x:v>
      </x:c>
      <x:c r="I63" s="46" t="n">
        <x:f>LN((B63+1)/(C63+1))</x:f>
        <x:v>-0.5076409076984709</x:v>
      </x:c>
      <x:c r="J63" t="str">
        <x:f>IF(A63&lt;"1997-06","Antes","Después")</x:f>
        <x:v>Antes</x:v>
      </x:c>
      <x:c r="K63" t="str">
        <x:v>51025090</x:v>
      </x:c>
    </x:row>
    <x:row r="64">
      <x:c r="A64" t="str">
        <x:v>1989-12</x:v>
      </x:c>
      <x:c r="B64" s="44" t="n">
        <x:v>94</x:v>
      </x:c>
      <x:c r="C64" s="44" t="n">
        <x:v>94.8</x:v>
      </x:c>
      <x:c r="D64" t="n">
        <x:v>31</x:v>
      </x:c>
      <x:c r="E64" t="n">
        <x:v>31</x:v>
      </x:c>
      <x:c r="F64" s="46" t="n">
        <x:v>100</x:v>
      </x:c>
      <x:c r="G64" s="46" t="n">
        <x:v>100</x:v>
      </x:c>
      <x:c r="H64" s="46" t="n">
        <x:f>B64-C64</x:f>
        <x:v>-0.7999999999999972</x:v>
      </x:c>
      <x:c r="I64" s="46" t="n">
        <x:f>LN((B64+1)/(C64+1))</x:f>
        <x:v>-0.008385793376273959</x:v>
      </x:c>
      <x:c r="J64" t="str">
        <x:f>IF(A64&lt;"1997-06","Antes","Después")</x:f>
        <x:v>Antes</x:v>
      </x:c>
      <x:c r="K64" t="str">
        <x:v>51025090</x:v>
      </x:c>
    </x:row>
    <x:row r="65">
      <x:c r="A65" t="str">
        <x:v>1990-01</x:v>
      </x:c>
      <x:c r="B65" s="44" t="n">
        <x:v>132.7</x:v>
      </x:c>
      <x:c r="C65" s="44" t="n">
        <x:v>194.6</x:v>
      </x:c>
      <x:c r="D65" t="n">
        <x:v>31</x:v>
      </x:c>
      <x:c r="E65" t="n">
        <x:v>31</x:v>
      </x:c>
      <x:c r="F65" s="46" t="n">
        <x:v>100</x:v>
      </x:c>
      <x:c r="G65" s="46" t="n">
        <x:v>100</x:v>
      </x:c>
      <x:c r="H65" s="46" t="n">
        <x:f>B65-C65</x:f>
        <x:v>-61.900000000000006</x:v>
      </x:c>
      <x:c r="I65" s="46" t="n">
        <x:f>LN((B65+1)/(C65+1))</x:f>
        <x:v>-0.3804732734928195</x:v>
      </x:c>
      <x:c r="J65" t="str">
        <x:f>IF(A65&lt;"1997-06","Antes","Después")</x:f>
        <x:v>Antes</x:v>
      </x:c>
      <x:c r="K65" t="str">
        <x:v>51025090</x:v>
      </x:c>
    </x:row>
    <x:row r="66">
      <x:c r="A66" t="str">
        <x:v>1990-02</x:v>
      </x:c>
      <x:c r="B66" s="44" t="n">
        <x:v>240.8</x:v>
      </x:c>
      <x:c r="C66" s="44" t="n">
        <x:v>273</x:v>
      </x:c>
      <x:c r="D66" t="n">
        <x:v>28</x:v>
      </x:c>
      <x:c r="E66" t="n">
        <x:v>28</x:v>
      </x:c>
      <x:c r="F66" s="46" t="n">
        <x:v>100</x:v>
      </x:c>
      <x:c r="G66" s="46" t="n">
        <x:v>100</x:v>
      </x:c>
      <x:c r="H66" s="46" t="n">
        <x:f>B66-C66</x:f>
        <x:v>-32.19999999999999</x:v>
      </x:c>
      <x:c r="I66" s="46" t="n">
        <x:f>LN((B66+1)/(C66+1))</x:f>
        <x:v>-0.12501716820737785</x:v>
      </x:c>
      <x:c r="J66" t="str">
        <x:f>IF(A66&lt;"1997-06","Antes","Después")</x:f>
        <x:v>Antes</x:v>
      </x:c>
      <x:c r="K66" t="str">
        <x:v>51025090</x:v>
      </x:c>
    </x:row>
    <x:row r="67">
      <x:c r="A67" t="str">
        <x:v>1990-03</x:v>
      </x:c>
      <x:c r="B67" s="44" t="n">
        <x:v>261.1</x:v>
      </x:c>
      <x:c r="C67" s="44" t="n">
        <x:v>397.7</x:v>
      </x:c>
      <x:c r="D67" t="n">
        <x:v>31</x:v>
      </x:c>
      <x:c r="E67" t="n">
        <x:v>31</x:v>
      </x:c>
      <x:c r="F67" s="46" t="n">
        <x:v>100</x:v>
      </x:c>
      <x:c r="G67" s="46" t="n">
        <x:v>100</x:v>
      </x:c>
      <x:c r="H67" s="46" t="n">
        <x:f>B67-C67</x:f>
        <x:v>-136.59999999999997</x:v>
      </x:c>
      <x:c r="I67" s="46" t="n">
        <x:f>LN((B67+1)/(C67+1))</x:f>
        <x:v>-0.4194831440579486</x:v>
      </x:c>
      <x:c r="J67" t="str">
        <x:f>IF(A67&lt;"1997-06","Antes","Después")</x:f>
        <x:v>Antes</x:v>
      </x:c>
      <x:c r="K67" t="str">
        <x:v>51025090</x:v>
      </x:c>
    </x:row>
    <x:row r="68">
      <x:c r="A68" t="str">
        <x:v>1990-04</x:v>
      </x:c>
      <x:c r="B68" s="44" t="n">
        <x:v>198.4</x:v>
      </x:c>
      <x:c r="C68" s="44" t="n">
        <x:v>245.7</x:v>
      </x:c>
      <x:c r="D68" t="n">
        <x:v>30</x:v>
      </x:c>
      <x:c r="E68" t="n">
        <x:v>30</x:v>
      </x:c>
      <x:c r="F68" s="46" t="n">
        <x:v>100</x:v>
      </x:c>
      <x:c r="G68" s="46" t="n">
        <x:v>100</x:v>
      </x:c>
      <x:c r="H68" s="46" t="n">
        <x:f>B68-C68</x:f>
        <x:v>-47.29999999999998</x:v>
      </x:c>
      <x:c r="I68" s="46" t="n">
        <x:f>LN((B68+1)/(C68+1))</x:f>
        <x:v>-0.212860166007573</x:v>
      </x:c>
      <x:c r="J68" t="str">
        <x:f>IF(A68&lt;"1997-06","Antes","Después")</x:f>
        <x:v>Antes</x:v>
      </x:c>
      <x:c r="K68" t="str">
        <x:v>51025090</x:v>
      </x:c>
    </x:row>
    <x:row r="69">
      <x:c r="A69" t="str">
        <x:v>1990-05</x:v>
      </x:c>
      <x:c r="B69" s="44" t="n">
        <x:v>113.4</x:v>
      </x:c>
      <x:c r="C69" s="44" t="n">
        <x:v>196.4</x:v>
      </x:c>
      <x:c r="D69" t="n">
        <x:v>31</x:v>
      </x:c>
      <x:c r="E69" t="n">
        <x:v>31</x:v>
      </x:c>
      <x:c r="F69" s="46" t="n">
        <x:v>100</x:v>
      </x:c>
      <x:c r="G69" s="46" t="n">
        <x:v>100</x:v>
      </x:c>
      <x:c r="H69" s="46" t="n">
        <x:f>B69-C69</x:f>
        <x:v>-83</x:v>
      </x:c>
      <x:c r="I69" s="46" t="n">
        <x:f>LN((B69+1)/(C69+1))</x:f>
        <x:v>-0.5455310480536836</x:v>
      </x:c>
      <x:c r="J69" t="str">
        <x:f>IF(A69&lt;"1997-06","Antes","Después")</x:f>
        <x:v>Antes</x:v>
      </x:c>
      <x:c r="K69" t="str">
        <x:v>51025090</x:v>
      </x:c>
    </x:row>
    <x:row r="70">
      <x:c r="A70" t="str">
        <x:v>1990-06</x:v>
      </x:c>
      <x:c r="B70" s="44" t="n">
        <x:v>408.4</x:v>
      </x:c>
      <x:c r="C70" s="44" t="n">
        <x:v>705.7</x:v>
      </x:c>
      <x:c r="D70" t="n">
        <x:v>30</x:v>
      </x:c>
      <x:c r="E70" t="n">
        <x:v>30</x:v>
      </x:c>
      <x:c r="F70" s="46" t="n">
        <x:v>100</x:v>
      </x:c>
      <x:c r="G70" s="46" t="n">
        <x:v>100</x:v>
      </x:c>
      <x:c r="H70" s="46" t="n">
        <x:f>B70-C70</x:f>
        <x:v>-297.30000000000007</x:v>
      </x:c>
      <x:c r="I70" s="46" t="n">
        <x:f>LN((B70+1)/(C70+1))</x:f>
        <x:v>-0.5459135744696195</x:v>
      </x:c>
      <x:c r="J70" t="str">
        <x:f>IF(A70&lt;"1997-06","Antes","Después")</x:f>
        <x:v>Antes</x:v>
      </x:c>
      <x:c r="K70" t="str">
        <x:v>51025090</x:v>
      </x:c>
    </x:row>
    <x:row r="71">
      <x:c r="A71" t="str">
        <x:v>1990-07</x:v>
      </x:c>
      <x:c r="B71" s="44" t="n">
        <x:v>63.8</x:v>
      </x:c>
      <x:c r="C71" s="44" t="n">
        <x:v>155.4</x:v>
      </x:c>
      <x:c r="D71" t="n">
        <x:v>31</x:v>
      </x:c>
      <x:c r="E71" t="n">
        <x:v>31</x:v>
      </x:c>
      <x:c r="F71" s="46" t="n">
        <x:v>100</x:v>
      </x:c>
      <x:c r="G71" s="46" t="n">
        <x:v>100</x:v>
      </x:c>
      <x:c r="H71" s="46" t="n">
        <x:f>B71-C71</x:f>
        <x:v>-91.60000000000001</x:v>
      </x:c>
      <x:c r="I71" s="46" t="n">
        <x:f>LN((B71+1)/(C71+1))</x:f>
        <x:v>-0.8811112247529818</x:v>
      </x:c>
      <x:c r="J71" t="str">
        <x:f>IF(A71&lt;"1997-06","Antes","Después")</x:f>
        <x:v>Antes</x:v>
      </x:c>
      <x:c r="K71" t="str">
        <x:v>51025090</x:v>
      </x:c>
    </x:row>
    <x:row r="72">
      <x:c r="A72" t="str">
        <x:v>1990-08</x:v>
      </x:c>
      <x:c r="B72" s="44" t="n">
        <x:v>14</x:v>
      </x:c>
      <x:c r="C72" s="44" t="n">
        <x:v>125.9</x:v>
      </x:c>
      <x:c r="D72" t="n">
        <x:v>31</x:v>
      </x:c>
      <x:c r="E72" t="n">
        <x:v>31</x:v>
      </x:c>
      <x:c r="F72" s="46" t="n">
        <x:v>100</x:v>
      </x:c>
      <x:c r="G72" s="46" t="n">
        <x:v>100</x:v>
      </x:c>
      <x:c r="H72" s="46" t="n">
        <x:f>B72-C72</x:f>
        <x:v>-111.9</x:v>
      </x:c>
      <x:c r="I72" s="46" t="n">
        <x:f>LN((B72+1)/(C72+1))</x:f>
        <x:v>-2.135349173618132</x:v>
      </x:c>
      <x:c r="J72" t="str">
        <x:f>IF(A72&lt;"1997-06","Antes","Después")</x:f>
        <x:v>Antes</x:v>
      </x:c>
      <x:c r="K72" t="str">
        <x:v>51025090</x:v>
      </x:c>
    </x:row>
    <x:row r="73">
      <x:c r="A73" t="str">
        <x:v>1990-09</x:v>
      </x:c>
      <x:c r="B73" s="44" t="n">
        <x:v>41.6</x:v>
      </x:c>
      <x:c r="C73" s="44" t="n">
        <x:v>57.1</x:v>
      </x:c>
      <x:c r="D73" t="n">
        <x:v>30</x:v>
      </x:c>
      <x:c r="E73" t="n">
        <x:v>29</x:v>
      </x:c>
      <x:c r="F73" s="46" t="n">
        <x:v>100</x:v>
      </x:c>
      <x:c r="G73" s="46" t="n">
        <x:v>96.67</x:v>
      </x:c>
      <x:c r="H73" s="46" t="n">
        <x:f>B73-C73</x:f>
        <x:v>-15.5</x:v>
      </x:c>
      <x:c r="I73" s="46" t="n">
        <x:f>LN((B73+1)/(C73+1))</x:f>
        <x:v>-0.31031141058254075</x:v>
      </x:c>
      <x:c r="J73" t="str">
        <x:f>IF(A73&lt;"1997-06","Antes","Después")</x:f>
        <x:v>Antes</x:v>
      </x:c>
      <x:c r="K73" t="str">
        <x:v>51025090</x:v>
      </x:c>
    </x:row>
    <x:row r="74">
      <x:c r="A74" t="str">
        <x:v>1990-12</x:v>
      </x:c>
      <x:c r="B74" s="44" t="n">
        <x:v>44.9</x:v>
      </x:c>
      <x:c r="C74" s="44" t="n">
        <x:v>108.5</x:v>
      </x:c>
      <x:c r="D74" t="n">
        <x:v>31</x:v>
      </x:c>
      <x:c r="E74" t="n">
        <x:v>30</x:v>
      </x:c>
      <x:c r="F74" s="46" t="n">
        <x:v>100</x:v>
      </x:c>
      <x:c r="G74" s="46" t="n">
        <x:v>96.77</x:v>
      </x:c>
      <x:c r="H74" s="46" t="n">
        <x:f>B74-C74</x:f>
        <x:v>-63.6</x:v>
      </x:c>
      <x:c r="I74" s="46" t="n">
        <x:f>LN((B74+1)/(C74+1))</x:f>
        <x:v>-0.8694594321900561</x:v>
      </x:c>
      <x:c r="J74" t="str">
        <x:f>IF(A74&lt;"1997-06","Antes","Después")</x:f>
        <x:v>Antes</x:v>
      </x:c>
      <x:c r="K74" t="str">
        <x:v>51025090</x:v>
      </x:c>
    </x:row>
    <x:row r="75">
      <x:c r="A75" t="str">
        <x:v>1991-03</x:v>
      </x:c>
      <x:c r="B75" s="44" t="n">
        <x:v>298.5</x:v>
      </x:c>
      <x:c r="C75" s="44" t="n">
        <x:v>212.7</x:v>
      </x:c>
      <x:c r="D75" t="n">
        <x:v>31</x:v>
      </x:c>
      <x:c r="E75" t="n">
        <x:v>31</x:v>
      </x:c>
      <x:c r="F75" s="46" t="n">
        <x:v>100</x:v>
      </x:c>
      <x:c r="G75" s="46" t="n">
        <x:v>100</x:v>
      </x:c>
      <x:c r="H75" s="46" t="n">
        <x:f>B75-C75</x:f>
        <x:v>85.80000000000001</x:v>
      </x:c>
      <x:c r="I75" s="46" t="n">
        <x:f>LN((B75+1)/(C75+1))</x:f>
        <x:v>0.33754125523040207</x:v>
      </x:c>
      <x:c r="J75" t="str">
        <x:f>IF(A75&lt;"1997-06","Antes","Después")</x:f>
        <x:v>Antes</x:v>
      </x:c>
      <x:c r="K75" t="str">
        <x:v>51025090</x:v>
      </x:c>
    </x:row>
    <x:row r="76">
      <x:c r="A76" t="str">
        <x:v>1991-04</x:v>
      </x:c>
      <x:c r="B76" s="44" t="n">
        <x:v>263.9</x:v>
      </x:c>
      <x:c r="C76" s="44" t="n">
        <x:v>414.4</x:v>
      </x:c>
      <x:c r="D76" t="n">
        <x:v>30</x:v>
      </x:c>
      <x:c r="E76" t="n">
        <x:v>28</x:v>
      </x:c>
      <x:c r="F76" s="46" t="n">
        <x:v>100</x:v>
      </x:c>
      <x:c r="G76" s="46" t="n">
        <x:v>93.33</x:v>
      </x:c>
      <x:c r="H76" s="46" t="n">
        <x:f>B76-C76</x:f>
        <x:v>-150.5</x:v>
      </x:c>
      <x:c r="I76" s="46" t="n">
        <x:f>LN((B76+1)/(C76+1))</x:f>
        <x:v>-0.44988951516398795</x:v>
      </x:c>
      <x:c r="J76" t="str">
        <x:f>IF(A76&lt;"1997-06","Antes","Después")</x:f>
        <x:v>Antes</x:v>
      </x:c>
      <x:c r="K76" t="str">
        <x:v>51025090</x:v>
      </x:c>
    </x:row>
    <x:row r="77">
      <x:c r="A77" t="str">
        <x:v>1991-05</x:v>
      </x:c>
      <x:c r="B77" s="44" t="n">
        <x:v>375.3</x:v>
      </x:c>
      <x:c r="C77" s="44" t="n">
        <x:v>344.1</x:v>
      </x:c>
      <x:c r="D77" t="n">
        <x:v>31</x:v>
      </x:c>
      <x:c r="E77" t="n">
        <x:v>31</x:v>
      </x:c>
      <x:c r="F77" s="46" t="n">
        <x:v>100</x:v>
      </x:c>
      <x:c r="G77" s="46" t="n">
        <x:v>100</x:v>
      </x:c>
      <x:c r="H77" s="46" t="n">
        <x:f>B77-C77</x:f>
        <x:v>31.19999999999999</x:v>
      </x:c>
      <x:c r="I77" s="46" t="n">
        <x:f>LN((B77+1)/(C77+1))</x:f>
        <x:v>0.08655246749543388</x:v>
      </x:c>
      <x:c r="J77" t="str">
        <x:f>IF(A77&lt;"1997-06","Antes","Después")</x:f>
        <x:v>Antes</x:v>
      </x:c>
      <x:c r="K77" t="str">
        <x:v>51025090</x:v>
      </x:c>
    </x:row>
    <x:row r="78">
      <x:c r="A78" t="str">
        <x:v>1991-06</x:v>
      </x:c>
      <x:c r="B78" s="44" t="n">
        <x:v>244.4</x:v>
      </x:c>
      <x:c r="C78" s="44" t="n">
        <x:v>224.1</x:v>
      </x:c>
      <x:c r="D78" t="n">
        <x:v>28</x:v>
      </x:c>
      <x:c r="E78" t="n">
        <x:v>30</x:v>
      </x:c>
      <x:c r="F78" s="46" t="n">
        <x:v>93.33</x:v>
      </x:c>
      <x:c r="G78" s="46" t="n">
        <x:v>100</x:v>
      </x:c>
      <x:c r="H78" s="46" t="n">
        <x:f>B78-C78</x:f>
        <x:v>20.30000000000001</x:v>
      </x:c>
      <x:c r="I78" s="46" t="n">
        <x:f>LN((B78+1)/(C78+1))</x:f>
        <x:v>0.08634478436412464</x:v>
      </x:c>
      <x:c r="J78" t="str">
        <x:f>IF(A78&lt;"1997-06","Antes","Después")</x:f>
        <x:v>Antes</x:v>
      </x:c>
      <x:c r="K78" t="str">
        <x:v>51025090</x:v>
      </x:c>
    </x:row>
    <x:row r="79">
      <x:c r="A79" t="str">
        <x:v>1991-07</x:v>
      </x:c>
      <x:c r="B79" s="44" t="n">
        <x:v>235.6</x:v>
      </x:c>
      <x:c r="C79" s="44" t="n">
        <x:v>331.5</x:v>
      </x:c>
      <x:c r="D79" t="n">
        <x:v>31</x:v>
      </x:c>
      <x:c r="E79" t="n">
        <x:v>31</x:v>
      </x:c>
      <x:c r="F79" s="46" t="n">
        <x:v>100</x:v>
      </x:c>
      <x:c r="G79" s="46" t="n">
        <x:v>100</x:v>
      </x:c>
      <x:c r="H79" s="46" t="n">
        <x:f>B79-C79</x:f>
        <x:v>-95.9</x:v>
      </x:c>
      <x:c r="I79" s="46" t="n">
        <x:f>LN((B79+1)/(C79+1))</x:f>
        <x:v>-0.3402689085516224</x:v>
      </x:c>
      <x:c r="J79" t="str">
        <x:f>IF(A79&lt;"1997-06","Antes","Después")</x:f>
        <x:v>Antes</x:v>
      </x:c>
      <x:c r="K79" t="str">
        <x:v>51025090</x:v>
      </x:c>
    </x:row>
    <x:row r="80">
      <x:c r="A80" t="str">
        <x:v>1991-08</x:v>
      </x:c>
      <x:c r="B80" s="44" t="n">
        <x:v>74.5</x:v>
      </x:c>
      <x:c r="C80" s="44" t="n">
        <x:v>27.2</x:v>
      </x:c>
      <x:c r="D80" t="n">
        <x:v>31</x:v>
      </x:c>
      <x:c r="E80" t="n">
        <x:v>29</x:v>
      </x:c>
      <x:c r="F80" s="46" t="n">
        <x:v>100</x:v>
      </x:c>
      <x:c r="G80" s="46" t="n">
        <x:v>93.55</x:v>
      </x:c>
      <x:c r="H80" s="46" t="n">
        <x:f>B80-C80</x:f>
        <x:v>47.3</x:v>
      </x:c>
      <x:c r="I80" s="46" t="n">
        <x:f>LN((B80+1)/(C80+1))</x:f>
        <x:v>0.9848106783109112</x:v>
      </x:c>
      <x:c r="J80" t="str">
        <x:f>IF(A80&lt;"1997-06","Antes","Después")</x:f>
        <x:v>Antes</x:v>
      </x:c>
      <x:c r="K80" t="str">
        <x:v>51025090</x:v>
      </x:c>
    </x:row>
    <x:row r="81">
      <x:c r="A81" t="str">
        <x:v>1991-09</x:v>
      </x:c>
      <x:c r="B81" s="44" t="n">
        <x:v>35.6</x:v>
      </x:c>
      <x:c r="C81" s="44" t="n">
        <x:v>84</x:v>
      </x:c>
      <x:c r="D81" t="n">
        <x:v>30</x:v>
      </x:c>
      <x:c r="E81" t="n">
        <x:v>30</x:v>
      </x:c>
      <x:c r="F81" s="46" t="n">
        <x:v>100</x:v>
      </x:c>
      <x:c r="G81" s="46" t="n">
        <x:v>100</x:v>
      </x:c>
      <x:c r="H81" s="46" t="n">
        <x:f>B81-C81</x:f>
        <x:v>-48.4</x:v>
      </x:c>
      <x:c r="I81" s="46" t="n">
        <x:f>LN((B81+1)/(C81+1))</x:f>
        <x:v>-0.8426030160829958</x:v>
      </x:c>
      <x:c r="J81" t="str">
        <x:f>IF(A81&lt;"1997-06","Antes","Después")</x:f>
        <x:v>Antes</x:v>
      </x:c>
      <x:c r="K81" t="str">
        <x:v>51025090</x:v>
      </x:c>
    </x:row>
    <x:row r="82">
      <x:c r="A82" t="str">
        <x:v>1991-10</x:v>
      </x:c>
      <x:c r="B82" s="44" t="n">
        <x:v>80</x:v>
      </x:c>
      <x:c r="C82" s="44" t="n">
        <x:v>84.3</x:v>
      </x:c>
      <x:c r="D82" t="n">
        <x:v>31</x:v>
      </x:c>
      <x:c r="E82" t="n">
        <x:v>31</x:v>
      </x:c>
      <x:c r="F82" s="46" t="n">
        <x:v>100</x:v>
      </x:c>
      <x:c r="G82" s="46" t="n">
        <x:v>100</x:v>
      </x:c>
      <x:c r="H82" s="46" t="n">
        <x:f>B82-C82</x:f>
        <x:v>-4.299999999999997</x:v>
      </x:c>
      <x:c r="I82" s="46" t="n">
        <x:f>LN((B82+1)/(C82+1))</x:f>
        <x:v>-0.05172529982519465</x:v>
      </x:c>
      <x:c r="J82" t="str">
        <x:f>IF(A82&lt;"1997-06","Antes","Después")</x:f>
        <x:v>Antes</x:v>
      </x:c>
      <x:c r="K82" t="str">
        <x:v>51025090</x:v>
      </x:c>
    </x:row>
    <x:row r="83">
      <x:c r="A83" t="str">
        <x:v>1991-11</x:v>
      </x:c>
      <x:c r="B83" s="44" t="n">
        <x:v>111.2</x:v>
      </x:c>
      <x:c r="C83" s="44" t="n">
        <x:v>242.6</x:v>
      </x:c>
      <x:c r="D83" t="n">
        <x:v>30</x:v>
      </x:c>
      <x:c r="E83" t="n">
        <x:v>30</x:v>
      </x:c>
      <x:c r="F83" s="46" t="n">
        <x:v>100</x:v>
      </x:c>
      <x:c r="G83" s="46" t="n">
        <x:v>100</x:v>
      </x:c>
      <x:c r="H83" s="46" t="n">
        <x:f>B83-C83</x:f>
        <x:v>-131.39999999999998</x:v>
      </x:c>
      <x:c r="I83" s="46" t="n">
        <x:f>LN((B83+1)/(C83+1))</x:f>
        <x:v>-0.7752445427471459</x:v>
      </x:c>
      <x:c r="J83" t="str">
        <x:f>IF(A83&lt;"1997-06","Antes","Después")</x:f>
        <x:v>Antes</x:v>
      </x:c>
      <x:c r="K83" t="str">
        <x:v>51025090</x:v>
      </x:c>
    </x:row>
    <x:row r="84">
      <x:c r="A84" t="str">
        <x:v>1991-12</x:v>
      </x:c>
      <x:c r="B84" s="44" t="n">
        <x:v>155.2</x:v>
      </x:c>
      <x:c r="C84" s="44" t="n">
        <x:v>219.9</x:v>
      </x:c>
      <x:c r="D84" t="n">
        <x:v>31</x:v>
      </x:c>
      <x:c r="E84" t="n">
        <x:v>29</x:v>
      </x:c>
      <x:c r="F84" s="46" t="n">
        <x:v>100</x:v>
      </x:c>
      <x:c r="G84" s="46" t="n">
        <x:v>93.55</x:v>
      </x:c>
      <x:c r="H84" s="46" t="n">
        <x:f>B84-C84</x:f>
        <x:v>-64.70000000000002</x:v>
      </x:c>
      <x:c r="I84" s="46" t="n">
        <x:f>LN((B84+1)/(C84+1))</x:f>
        <x:v>-0.346572873020486</x:v>
      </x:c>
      <x:c r="J84" t="str">
        <x:f>IF(A84&lt;"1997-06","Antes","Después")</x:f>
        <x:v>Antes</x:v>
      </x:c>
      <x:c r="K84" t="str">
        <x:v>51025090</x:v>
      </x:c>
    </x:row>
    <x:row r="85">
      <x:c r="A85" t="str">
        <x:v>1992-01</x:v>
      </x:c>
      <x:c r="B85" s="44" t="n">
        <x:v>114.8</x:v>
      </x:c>
      <x:c r="C85" s="44" t="n">
        <x:v>172</x:v>
      </x:c>
      <x:c r="D85" t="n">
        <x:v>31</x:v>
      </x:c>
      <x:c r="E85" t="n">
        <x:v>29</x:v>
      </x:c>
      <x:c r="F85" s="46" t="n">
        <x:v>100</x:v>
      </x:c>
      <x:c r="G85" s="46" t="n">
        <x:v>93.55</x:v>
      </x:c>
      <x:c r="H85" s="46" t="n">
        <x:f>B85-C85</x:f>
        <x:v>-57.2</x:v>
      </x:c>
      <x:c r="I85" s="46" t="n">
        <x:f>LN((B85+1)/(C85+1))</x:f>
        <x:v>-0.4014270293588842</x:v>
      </x:c>
      <x:c r="J85" t="str">
        <x:f>IF(A85&lt;"1997-06","Antes","Después")</x:f>
        <x:v>Antes</x:v>
      </x:c>
      <x:c r="K85" t="str">
        <x:v>51025090</x:v>
      </x:c>
    </x:row>
    <x:row r="86">
      <x:c r="A86" t="str">
        <x:v>1992-03</x:v>
      </x:c>
      <x:c r="B86" s="44" t="n">
        <x:v>396.6</x:v>
      </x:c>
      <x:c r="C86" s="44" t="n">
        <x:v>339.8</x:v>
      </x:c>
      <x:c r="D86" t="n">
        <x:v>31</x:v>
      </x:c>
      <x:c r="E86" t="n">
        <x:v>31</x:v>
      </x:c>
      <x:c r="F86" s="46" t="n">
        <x:v>100</x:v>
      </x:c>
      <x:c r="G86" s="46" t="n">
        <x:v>100</x:v>
      </x:c>
      <x:c r="H86" s="46" t="n">
        <x:f>B86-C86</x:f>
        <x:v>56.80000000000001</x:v>
      </x:c>
      <x:c r="I86" s="46" t="n">
        <x:f>LN((B86+1)/(C86+1))</x:f>
        <x:v>0.15415067982725836</x:v>
      </x:c>
      <x:c r="J86" t="str">
        <x:f>IF(A86&lt;"1997-06","Antes","Después")</x:f>
        <x:v>Antes</x:v>
      </x:c>
      <x:c r="K86" t="str">
        <x:v>51025090</x:v>
      </x:c>
    </x:row>
    <x:row r="87">
      <x:c r="A87" t="str">
        <x:v>1992-04</x:v>
      </x:c>
      <x:c r="B87" s="44" t="n">
        <x:v>330.5</x:v>
      </x:c>
      <x:c r="C87" s="44" t="n">
        <x:v>215.7</x:v>
      </x:c>
      <x:c r="D87" t="n">
        <x:v>30</x:v>
      </x:c>
      <x:c r="E87" t="n">
        <x:v>30</x:v>
      </x:c>
      <x:c r="F87" s="46" t="n">
        <x:v>100</x:v>
      </x:c>
      <x:c r="G87" s="46" t="n">
        <x:v>100</x:v>
      </x:c>
      <x:c r="H87" s="46" t="n">
        <x:f>B87-C87</x:f>
        <x:v>114.80000000000001</x:v>
      </x:c>
      <x:c r="I87" s="46" t="n">
        <x:f>LN((B87+1)/(C87+1))</x:f>
        <x:v>0.4251139010836039</x:v>
      </x:c>
      <x:c r="J87" t="str">
        <x:f>IF(A87&lt;"1997-06","Antes","Después")</x:f>
        <x:v>Antes</x:v>
      </x:c>
      <x:c r="K87" t="str">
        <x:v>51025090</x:v>
      </x:c>
    </x:row>
    <x:row r="88">
      <x:c r="A88" t="str">
        <x:v>1992-05</x:v>
      </x:c>
      <x:c r="B88" s="44" t="n">
        <x:v>519</x:v>
      </x:c>
      <x:c r="C88" s="44" t="n">
        <x:v>517.6</x:v>
      </x:c>
      <x:c r="D88" t="n">
        <x:v>31</x:v>
      </x:c>
      <x:c r="E88" t="n">
        <x:v>30</x:v>
      </x:c>
      <x:c r="F88" s="46" t="n">
        <x:v>100</x:v>
      </x:c>
      <x:c r="G88" s="46" t="n">
        <x:v>96.77</x:v>
      </x:c>
      <x:c r="H88" s="46" t="n">
        <x:f>B88-C88</x:f>
        <x:v>1.3999999999999773</x:v>
      </x:c>
      <x:c r="I88" s="46" t="n">
        <x:f>LN((B88+1)/(C88+1))</x:f>
        <x:v>0.0026959384709090246</x:v>
      </x:c>
      <x:c r="J88" t="str">
        <x:f>IF(A88&lt;"1997-06","Antes","Después")</x:f>
        <x:v>Antes</x:v>
      </x:c>
      <x:c r="K88" t="str">
        <x:v>51025090</x:v>
      </x:c>
    </x:row>
    <x:row r="89">
      <x:c r="A89" t="str">
        <x:v>1992-06</x:v>
      </x:c>
      <x:c r="B89" s="44" t="n">
        <x:v>291.1</x:v>
      </x:c>
      <x:c r="C89" s="44" t="n">
        <x:v>261.8</x:v>
      </x:c>
      <x:c r="D89" t="n">
        <x:v>30</x:v>
      </x:c>
      <x:c r="E89" t="n">
        <x:v>28</x:v>
      </x:c>
      <x:c r="F89" s="46" t="n">
        <x:v>100</x:v>
      </x:c>
      <x:c r="G89" s="46" t="n">
        <x:v>93.33</x:v>
      </x:c>
      <x:c r="H89" s="46" t="n">
        <x:f>B89-C89</x:f>
        <x:v>29.30000000000001</x:v>
      </x:c>
      <x:c r="I89" s="46" t="n">
        <x:f>LN((B89+1)/(C89+1))</x:f>
        <x:v>0.1057029227832399</x:v>
      </x:c>
      <x:c r="J89" t="str">
        <x:f>IF(A89&lt;"1997-06","Antes","Después")</x:f>
        <x:v>Antes</x:v>
      </x:c>
      <x:c r="K89" t="str">
        <x:v>51025090</x:v>
      </x:c>
    </x:row>
    <x:row r="90">
      <x:c r="A90" t="str">
        <x:v>1992-07</x:v>
      </x:c>
      <x:c r="B90" s="44" t="n">
        <x:v>115.7</x:v>
      </x:c>
      <x:c r="C90" s="44" t="n">
        <x:v>214.9</x:v>
      </x:c>
      <x:c r="D90" t="n">
        <x:v>31</x:v>
      </x:c>
      <x:c r="E90" t="n">
        <x:v>28</x:v>
      </x:c>
      <x:c r="F90" s="46" t="n">
        <x:v>100</x:v>
      </x:c>
      <x:c r="G90" s="46" t="n">
        <x:v>90.32</x:v>
      </x:c>
      <x:c r="H90" s="46" t="n">
        <x:f>B90-C90</x:f>
        <x:v>-99.2</x:v>
      </x:c>
      <x:c r="I90" s="46" t="n">
        <x:f>LN((B90+1)/(C90+1))</x:f>
        <x:v>-0.6152087982282514</x:v>
      </x:c>
      <x:c r="J90" t="str">
        <x:f>IF(A90&lt;"1997-06","Antes","Después")</x:f>
        <x:v>Antes</x:v>
      </x:c>
      <x:c r="K90" t="str">
        <x:v>51025090</x:v>
      </x:c>
    </x:row>
    <x:row r="91">
      <x:c r="A91" t="str">
        <x:v>1992-08</x:v>
      </x:c>
      <x:c r="B91" s="44" t="n">
        <x:v>182.2</x:v>
      </x:c>
      <x:c r="C91" s="44" t="n">
        <x:v>217.3</x:v>
      </x:c>
      <x:c r="D91" t="n">
        <x:v>31</x:v>
      </x:c>
      <x:c r="E91" t="n">
        <x:v>30</x:v>
      </x:c>
      <x:c r="F91" s="46" t="n">
        <x:v>100</x:v>
      </x:c>
      <x:c r="G91" s="46" t="n">
        <x:v>96.77</x:v>
      </x:c>
      <x:c r="H91" s="46" t="n">
        <x:f>B91-C91</x:f>
        <x:v>-35.10000000000002</x:v>
      </x:c>
      <x:c r="I91" s="46" t="n">
        <x:f>LN((B91+1)/(C91+1))</x:f>
        <x:v>-0.17529181131586838</x:v>
      </x:c>
      <x:c r="J91" t="str">
        <x:f>IF(A91&lt;"1997-06","Antes","Después")</x:f>
        <x:v>Antes</x:v>
      </x:c>
      <x:c r="K91" t="str">
        <x:v>51025090</x:v>
      </x:c>
    </x:row>
    <x:row r="92">
      <x:c r="A92" t="str">
        <x:v>1992-09</x:v>
      </x:c>
      <x:c r="B92" s="44" t="n">
        <x:v>92.9</x:v>
      </x:c>
      <x:c r="C92" s="44" t="n">
        <x:v>121.6</x:v>
      </x:c>
      <x:c r="D92" t="n">
        <x:v>30</x:v>
      </x:c>
      <x:c r="E92" t="n">
        <x:v>28</x:v>
      </x:c>
      <x:c r="F92" s="46" t="n">
        <x:v>100</x:v>
      </x:c>
      <x:c r="G92" s="46" t="n">
        <x:v>93.33</x:v>
      </x:c>
      <x:c r="H92" s="46" t="n">
        <x:f>B92-C92</x:f>
        <x:v>-28.69999999999999</x:v>
      </x:c>
      <x:c r="I92" s="46" t="n">
        <x:f>LN((B92+1)/(C92+1))</x:f>
        <x:v>-0.2666966372878938</x:v>
      </x:c>
      <x:c r="J92" t="str">
        <x:f>IF(A92&lt;"1997-06","Antes","Después")</x:f>
        <x:v>Antes</x:v>
      </x:c>
      <x:c r="K92" t="str">
        <x:v>51025090</x:v>
      </x:c>
    </x:row>
    <x:row r="93">
      <x:c r="A93" t="str">
        <x:v>1992-11</x:v>
      </x:c>
      <x:c r="B93" s="44" t="n">
        <x:v>83.4</x:v>
      </x:c>
      <x:c r="C93" s="44" t="n">
        <x:v>39.5</x:v>
      </x:c>
      <x:c r="D93" t="n">
        <x:v>30</x:v>
      </x:c>
      <x:c r="E93" t="n">
        <x:v>27</x:v>
      </x:c>
      <x:c r="F93" s="46" t="n">
        <x:v>100</x:v>
      </x:c>
      <x:c r="G93" s="46" t="n">
        <x:v>90</x:v>
      </x:c>
      <x:c r="H93" s="46" t="n">
        <x:f>B93-C93</x:f>
        <x:v>43.900000000000006</x:v>
      </x:c>
      <x:c r="I93" s="46" t="n">
        <x:f>LN((B93+1)/(C93+1))</x:f>
        <x:v>0.734265427489418</x:v>
      </x:c>
      <x:c r="J93" t="str">
        <x:f>IF(A93&lt;"1997-06","Antes","Después")</x:f>
        <x:v>Antes</x:v>
      </x:c>
      <x:c r="K93" t="str">
        <x:v>51025090</x:v>
      </x:c>
    </x:row>
    <x:row r="94">
      <x:c r="A94" t="str">
        <x:v>1992-12</x:v>
      </x:c>
      <x:c r="B94" s="44" t="n">
        <x:v>183.8</x:v>
      </x:c>
      <x:c r="C94" s="44" t="n">
        <x:v>188</x:v>
      </x:c>
      <x:c r="D94" t="n">
        <x:v>31</x:v>
      </x:c>
      <x:c r="E94" t="n">
        <x:v>29</x:v>
      </x:c>
      <x:c r="F94" s="46" t="n">
        <x:v>100</x:v>
      </x:c>
      <x:c r="G94" s="46" t="n">
        <x:v>93.55</x:v>
      </x:c>
      <x:c r="H94" s="46" t="n">
        <x:f>B94-C94</x:f>
        <x:v>-4.199999999999989</x:v>
      </x:c>
      <x:c r="I94" s="46" t="n">
        <x:f>LN((B94+1)/(C94+1))</x:f>
        <x:v>-0.022472855852058514</x:v>
      </x:c>
      <x:c r="J94" t="str">
        <x:f>IF(A94&lt;"1997-06","Antes","Después")</x:f>
        <x:v>Antes</x:v>
      </x:c>
      <x:c r="K94" t="str">
        <x:v>51025090</x:v>
      </x:c>
    </x:row>
    <x:row r="95">
      <x:c r="A95" t="str">
        <x:v>1993-01</x:v>
      </x:c>
      <x:c r="B95" s="44" t="n">
        <x:v>234.9</x:v>
      </x:c>
      <x:c r="C95" s="44" t="n">
        <x:v>271.9</x:v>
      </x:c>
      <x:c r="D95" t="n">
        <x:v>31</x:v>
      </x:c>
      <x:c r="E95" t="n">
        <x:v>31</x:v>
      </x:c>
      <x:c r="F95" s="46" t="n">
        <x:v>100</x:v>
      </x:c>
      <x:c r="G95" s="46" t="n">
        <x:v>100</x:v>
      </x:c>
      <x:c r="H95" s="46" t="n">
        <x:f>B95-C95</x:f>
        <x:v>-36.99999999999997</x:v>
      </x:c>
      <x:c r="I95" s="46" t="n">
        <x:f>LN((B95+1)/(C95+1))</x:f>
        <x:v>-0.1456974413006634</x:v>
      </x:c>
      <x:c r="J95" t="str">
        <x:f>IF(A95&lt;"1997-06","Antes","Después")</x:f>
        <x:v>Antes</x:v>
      </x:c>
      <x:c r="K95" t="str">
        <x:v>51025090</x:v>
      </x:c>
    </x:row>
    <x:row r="96">
      <x:c r="A96" t="str">
        <x:v>1993-04</x:v>
      </x:c>
      <x:c r="B96" s="44" t="n">
        <x:v>430.2</x:v>
      </x:c>
      <x:c r="C96" s="44" t="n">
        <x:v>317.4</x:v>
      </x:c>
      <x:c r="D96" t="n">
        <x:v>30</x:v>
      </x:c>
      <x:c r="E96" t="n">
        <x:v>27</x:v>
      </x:c>
      <x:c r="F96" s="46" t="n">
        <x:v>100</x:v>
      </x:c>
      <x:c r="G96" s="46" t="n">
        <x:v>90</x:v>
      </x:c>
      <x:c r="H96" s="46" t="n">
        <x:f>B96-C96</x:f>
        <x:v>112.80000000000001</x:v>
      </x:c>
      <x:c r="I96" s="46" t="n">
        <x:f>LN((B96+1)/(C96+1))</x:f>
        <x:v>0.3032635656245596</x:v>
      </x:c>
      <x:c r="J96" t="str">
        <x:f>IF(A96&lt;"1997-06","Antes","Después")</x:f>
        <x:v>Antes</x:v>
      </x:c>
      <x:c r="K96" t="str">
        <x:v>51025090</x:v>
      </x:c>
    </x:row>
    <x:row r="97">
      <x:c r="A97" t="str">
        <x:v>1993-05</x:v>
      </x:c>
      <x:c r="B97" s="44" t="n">
        <x:v>199.6</x:v>
      </x:c>
      <x:c r="C97" s="44" t="n">
        <x:v>284.5</x:v>
      </x:c>
      <x:c r="D97" t="n">
        <x:v>31</x:v>
      </x:c>
      <x:c r="E97" t="n">
        <x:v>28</x:v>
      </x:c>
      <x:c r="F97" s="46" t="n">
        <x:v>100</x:v>
      </x:c>
      <x:c r="G97" s="46" t="n">
        <x:v>90.32</x:v>
      </x:c>
      <x:c r="H97" s="46" t="n">
        <x:f>B97-C97</x:f>
        <x:v>-84.9</x:v>
      </x:c>
      <x:c r="I97" s="46" t="n">
        <x:f>LN((B97+1)/(C97+1))</x:f>
        <x:v>-0.3529291535682298</x:v>
      </x:c>
      <x:c r="J97" t="str">
        <x:f>IF(A97&lt;"1997-06","Antes","Después")</x:f>
        <x:v>Antes</x:v>
      </x:c>
      <x:c r="K97" t="str">
        <x:v>51025090</x:v>
      </x:c>
    </x:row>
    <x:row r="98">
      <x:c r="A98" t="str">
        <x:v>1993-06</x:v>
      </x:c>
      <x:c r="B98" s="44" t="n">
        <x:v>33.7</x:v>
      </x:c>
      <x:c r="C98" s="44" t="n">
        <x:v>334.2</x:v>
      </x:c>
      <x:c r="D98" t="n">
        <x:v>30</x:v>
      </x:c>
      <x:c r="E98" t="n">
        <x:v>27</x:v>
      </x:c>
      <x:c r="F98" s="46" t="n">
        <x:v>100</x:v>
      </x:c>
      <x:c r="G98" s="46" t="n">
        <x:v>90</x:v>
      </x:c>
      <x:c r="H98" s="46" t="n">
        <x:f>B98-C98</x:f>
        <x:v>-300.5</x:v>
      </x:c>
      <x:c r="I98" s="46" t="n">
        <x:f>LN((B98+1)/(C98+1))</x:f>
        <x:v>-2.2679876816551143</x:v>
      </x:c>
      <x:c r="J98" t="str">
        <x:f>IF(A98&lt;"1997-06","Antes","Después")</x:f>
        <x:v>Antes</x:v>
      </x:c>
      <x:c r="K98" t="str">
        <x:v>51025090</x:v>
      </x:c>
    </x:row>
    <x:row r="99">
      <x:c r="A99" t="str">
        <x:v>1993-07</x:v>
      </x:c>
      <x:c r="B99" s="44" t="n">
        <x:v>22.5</x:v>
      </x:c>
      <x:c r="C99" s="44" t="n">
        <x:v>403.3</x:v>
      </x:c>
      <x:c r="D99" t="n">
        <x:v>31</x:v>
      </x:c>
      <x:c r="E99" t="n">
        <x:v>28</x:v>
      </x:c>
      <x:c r="F99" s="46" t="n">
        <x:v>100</x:v>
      </x:c>
      <x:c r="G99" s="46" t="n">
        <x:v>90.32</x:v>
      </x:c>
      <x:c r="H99" s="46" t="n">
        <x:f>B99-C99</x:f>
        <x:v>-380.8</x:v>
      </x:c>
      <x:c r="I99" s="46" t="n">
        <x:f>LN((B99+1)/(C99+1))</x:f>
        <x:v>-2.8451567554966117</x:v>
      </x:c>
      <x:c r="J99" t="str">
        <x:f>IF(A99&lt;"1997-06","Antes","Después")</x:f>
        <x:v>Antes</x:v>
      </x:c>
      <x:c r="K99" t="str">
        <x:v>51025090</x:v>
      </x:c>
    </x:row>
    <x:row r="100">
      <x:c r="A100" t="str">
        <x:v>1993-10</x:v>
      </x:c>
      <x:c r="B100" s="44" t="n">
        <x:v>13.5</x:v>
      </x:c>
      <x:c r="C100" s="44" t="n">
        <x:v>156.7</x:v>
      </x:c>
      <x:c r="D100" t="n">
        <x:v>31</x:v>
      </x:c>
      <x:c r="E100" t="n">
        <x:v>28</x:v>
      </x:c>
      <x:c r="F100" s="46" t="n">
        <x:v>100</x:v>
      </x:c>
      <x:c r="G100" s="46" t="n">
        <x:v>90.32</x:v>
      </x:c>
      <x:c r="H100" s="46" t="n">
        <x:f>B100-C100</x:f>
        <x:v>-143.2</x:v>
      </x:c>
      <x:c r="I100" s="46" t="n">
        <x:f>LN((B100+1)/(C100+1))</x:f>
        <x:v>-2.386545844542464</x:v>
      </x:c>
      <x:c r="J100" t="str">
        <x:f>IF(A100&lt;"1997-06","Antes","Después")</x:f>
        <x:v>Antes</x:v>
      </x:c>
      <x:c r="K100" t="str">
        <x:v>51025090</x:v>
      </x:c>
    </x:row>
    <x:row r="101">
      <x:c r="A101" t="str">
        <x:v>1993-11</x:v>
      </x:c>
      <x:c r="B101" s="44" t="n">
        <x:v>11.1</x:v>
      </x:c>
      <x:c r="C101" s="44" t="n">
        <x:v>164.1</x:v>
      </x:c>
      <x:c r="D101" t="n">
        <x:v>30</x:v>
      </x:c>
      <x:c r="E101" t="n">
        <x:v>29</x:v>
      </x:c>
      <x:c r="F101" s="46" t="n">
        <x:v>100</x:v>
      </x:c>
      <x:c r="G101" s="46" t="n">
        <x:v>96.67</x:v>
      </x:c>
      <x:c r="H101" s="46" t="n">
        <x:f>B101-C101</x:f>
        <x:v>-153</x:v>
      </x:c>
      <x:c r="I101" s="46" t="n">
        <x:f>LN((B101+1)/(C101+1))</x:f>
        <x:v>-2.613345898323387</x:v>
      </x:c>
      <x:c r="J101" t="str">
        <x:f>IF(A101&lt;"1997-06","Antes","Después")</x:f>
        <x:v>Antes</x:v>
      </x:c>
      <x:c r="K101" t="str">
        <x:v>51025090</x:v>
      </x:c>
    </x:row>
    <x:row r="102">
      <x:c r="A102" t="str">
        <x:v>1994-01</x:v>
      </x:c>
      <x:c r="B102" s="44" t="n">
        <x:v>37.2</x:v>
      </x:c>
      <x:c r="C102" s="44" t="n">
        <x:v>455.1</x:v>
      </x:c>
      <x:c r="D102" t="n">
        <x:v>31</x:v>
      </x:c>
      <x:c r="E102" t="n">
        <x:v>31</x:v>
      </x:c>
      <x:c r="F102" s="46" t="n">
        <x:v>100</x:v>
      </x:c>
      <x:c r="G102" s="46" t="n">
        <x:v>100</x:v>
      </x:c>
      <x:c r="H102" s="46" t="n">
        <x:f>B102-C102</x:f>
        <x:v>-417.90000000000003</x:v>
      </x:c>
      <x:c r="I102" s="46" t="n">
        <x:f>LN((B102+1)/(C102+1))</x:f>
        <x:v>-2.479876568105125</x:v>
      </x:c>
      <x:c r="J102" t="str">
        <x:f>IF(A102&lt;"1997-06","Antes","Después")</x:f>
        <x:v>Antes</x:v>
      </x:c>
      <x:c r="K102" t="str">
        <x:v>51025090</x:v>
      </x:c>
    </x:row>
    <x:row r="103">
      <x:c r="A103" t="str">
        <x:v>1994-02</x:v>
      </x:c>
      <x:c r="B103" s="44" t="n">
        <x:v>39.4</x:v>
      </x:c>
      <x:c r="C103" s="44" t="n">
        <x:v>263.8</x:v>
      </x:c>
      <x:c r="D103" t="n">
        <x:v>28</x:v>
      </x:c>
      <x:c r="E103" t="n">
        <x:v>28</x:v>
      </x:c>
      <x:c r="F103" s="46" t="n">
        <x:v>100</x:v>
      </x:c>
      <x:c r="G103" s="46" t="n">
        <x:v>100</x:v>
      </x:c>
      <x:c r="H103" s="46" t="n">
        <x:f>B103-C103</x:f>
        <x:v>-224.4</x:v>
      </x:c>
      <x:c r="I103" s="46" t="n">
        <x:f>LN((B103+1)/(C103+1))</x:f>
        <x:v>-1.8801450390957488</x:v>
      </x:c>
      <x:c r="J103" t="str">
        <x:f>IF(A103&lt;"1997-06","Antes","Después")</x:f>
        <x:v>Antes</x:v>
      </x:c>
      <x:c r="K103" t="str">
        <x:v>51025090</x:v>
      </x:c>
    </x:row>
    <x:row r="104">
      <x:c r="A104" t="str">
        <x:v>1994-03</x:v>
      </x:c>
      <x:c r="B104" s="44" t="n">
        <x:v>29.9</x:v>
      </x:c>
      <x:c r="C104" s="44" t="n">
        <x:v>283.2</x:v>
      </x:c>
      <x:c r="D104" t="n">
        <x:v>31</x:v>
      </x:c>
      <x:c r="E104" t="n">
        <x:v>31</x:v>
      </x:c>
      <x:c r="F104" s="46" t="n">
        <x:v>100</x:v>
      </x:c>
      <x:c r="G104" s="46" t="n">
        <x:v>100</x:v>
      </x:c>
      <x:c r="H104" s="46" t="n">
        <x:f>B104-C104</x:f>
        <x:v>-253.29999999999998</x:v>
      </x:c>
      <x:c r="I104" s="46" t="n">
        <x:f>LN((B104+1)/(C104+1))</x:f>
        <x:v>-2.2189220317593006</x:v>
      </x:c>
      <x:c r="J104" t="str">
        <x:f>IF(A104&lt;"1997-06","Antes","Después")</x:f>
        <x:v>Antes</x:v>
      </x:c>
      <x:c r="K104" t="str">
        <x:v>51025090</x:v>
      </x:c>
    </x:row>
    <x:row r="105">
      <x:c r="A105" t="str">
        <x:v>1994-04</x:v>
      </x:c>
      <x:c r="B105" s="44" t="n">
        <x:v>461</x:v>
      </x:c>
      <x:c r="C105" s="44" t="n">
        <x:v>294.5</x:v>
      </x:c>
      <x:c r="D105" t="n">
        <x:v>30</x:v>
      </x:c>
      <x:c r="E105" t="n">
        <x:v>30</x:v>
      </x:c>
      <x:c r="F105" s="46" t="n">
        <x:v>100</x:v>
      </x:c>
      <x:c r="G105" s="46" t="n">
        <x:v>100</x:v>
      </x:c>
      <x:c r="H105" s="46" t="n">
        <x:f>B105-C105</x:f>
        <x:v>166.5</x:v>
      </x:c>
      <x:c r="I105" s="46" t="n">
        <x:f>LN((B105+1)/(C105+1))</x:f>
        <x:v>0.446896054235586</x:v>
      </x:c>
      <x:c r="J105" t="str">
        <x:f>IF(A105&lt;"1997-06","Antes","Después")</x:f>
        <x:v>Antes</x:v>
      </x:c>
      <x:c r="K105" t="str">
        <x:v>51025090</x:v>
      </x:c>
    </x:row>
    <x:row r="106">
      <x:c r="A106" t="str">
        <x:v>1994-05</x:v>
      </x:c>
      <x:c r="B106" s="44" t="n">
        <x:v>485</x:v>
      </x:c>
      <x:c r="C106" s="44" t="n">
        <x:v>513.3</x:v>
      </x:c>
      <x:c r="D106" t="n">
        <x:v>31</x:v>
      </x:c>
      <x:c r="E106" t="n">
        <x:v>31</x:v>
      </x:c>
      <x:c r="F106" s="46" t="n">
        <x:v>100</x:v>
      </x:c>
      <x:c r="G106" s="46" t="n">
        <x:v>100</x:v>
      </x:c>
      <x:c r="H106" s="46" t="n">
        <x:f>B106-C106</x:f>
        <x:v>-28.299999999999955</x:v>
      </x:c>
      <x:c r="I106" s="46" t="n">
        <x:f>LN((B106+1)/(C106+1))</x:f>
        <x:v>-0.05659812888037669</x:v>
      </x:c>
      <x:c r="J106" t="str">
        <x:f>IF(A106&lt;"1997-06","Antes","Después")</x:f>
        <x:v>Antes</x:v>
      </x:c>
      <x:c r="K106" t="str">
        <x:v>51025090</x:v>
      </x:c>
    </x:row>
    <x:row r="107">
      <x:c r="A107" t="str">
        <x:v>1994-06</x:v>
      </x:c>
      <x:c r="B107" s="44" t="n">
        <x:v>210</x:v>
      </x:c>
      <x:c r="C107" s="44" t="n">
        <x:v>306.5</x:v>
      </x:c>
      <x:c r="D107" t="n">
        <x:v>30</x:v>
      </x:c>
      <x:c r="E107" t="n">
        <x:v>30</x:v>
      </x:c>
      <x:c r="F107" s="46" t="n">
        <x:v>100</x:v>
      </x:c>
      <x:c r="G107" s="46" t="n">
        <x:v>100</x:v>
      </x:c>
      <x:c r="H107" s="46" t="n">
        <x:f>B107-C107</x:f>
        <x:v>-96.5</x:v>
      </x:c>
      <x:c r="I107" s="46" t="n">
        <x:f>LN((B107+1)/(C107+1))</x:f>
        <x:v>-0.3766169537705061</x:v>
      </x:c>
      <x:c r="J107" t="str">
        <x:f>IF(A107&lt;"1997-06","Antes","Después")</x:f>
        <x:v>Antes</x:v>
      </x:c>
      <x:c r="K107" t="str">
        <x:v>51025090</x:v>
      </x:c>
    </x:row>
    <x:row r="108">
      <x:c r="A108" t="str">
        <x:v>1994-07</x:v>
      </x:c>
      <x:c r="B108" s="44" t="n">
        <x:v>32</x:v>
      </x:c>
      <x:c r="C108" s="44" t="n">
        <x:v>28.5</x:v>
      </x:c>
      <x:c r="D108" t="n">
        <x:v>31</x:v>
      </x:c>
      <x:c r="E108" t="n">
        <x:v>31</x:v>
      </x:c>
      <x:c r="F108" s="46" t="n">
        <x:v>100</x:v>
      </x:c>
      <x:c r="G108" s="46" t="n">
        <x:v>100</x:v>
      </x:c>
      <x:c r="H108" s="46" t="n">
        <x:f>B108-C108</x:f>
        <x:v>3.5</x:v>
      </x:c>
      <x:c r="I108" s="46" t="n">
        <x:f>LN((B108+1)/(C108+1))</x:f>
        <x:v>0.112117298120706</x:v>
      </x:c>
      <x:c r="J108" t="str">
        <x:f>IF(A108&lt;"1997-06","Antes","Después")</x:f>
        <x:v>Antes</x:v>
      </x:c>
      <x:c r="K108" t="str">
        <x:v>51025090</x:v>
      </x:c>
    </x:row>
    <x:row r="109">
      <x:c r="A109" t="str">
        <x:v>1994-08</x:v>
      </x:c>
      <x:c r="B109" s="44" t="n">
        <x:v>35</x:v>
      </x:c>
      <x:c r="C109" s="44" t="n">
        <x:v>84.1</x:v>
      </x:c>
      <x:c r="D109" t="n">
        <x:v>31</x:v>
      </x:c>
      <x:c r="E109" t="n">
        <x:v>31</x:v>
      </x:c>
      <x:c r="F109" s="46" t="n">
        <x:v>100</x:v>
      </x:c>
      <x:c r="G109" s="46" t="n">
        <x:v>100</x:v>
      </x:c>
      <x:c r="H109" s="46" t="n">
        <x:f>B109-C109</x:f>
        <x:v>-49.099999999999994</x:v>
      </x:c>
      <x:c r="I109" s="46" t="n">
        <x:f>LN((B109+1)/(C109+1))</x:f>
        <x:v>-0.8603080971232184</x:v>
      </x:c>
      <x:c r="J109" t="str">
        <x:f>IF(A109&lt;"1997-06","Antes","Después")</x:f>
        <x:v>Antes</x:v>
      </x:c>
      <x:c r="K109" t="str">
        <x:v>51025090</x:v>
      </x:c>
    </x:row>
    <x:row r="110">
      <x:c r="A110" t="str">
        <x:v>1994-09</x:v>
      </x:c>
      <x:c r="B110" s="44" t="n">
        <x:v>75</x:v>
      </x:c>
      <x:c r="C110" s="44" t="n">
        <x:v>40.6</x:v>
      </x:c>
      <x:c r="D110" t="n">
        <x:v>30</x:v>
      </x:c>
      <x:c r="E110" t="n">
        <x:v>30</x:v>
      </x:c>
      <x:c r="F110" s="46" t="n">
        <x:v>100</x:v>
      </x:c>
      <x:c r="G110" s="46" t="n">
        <x:v>100</x:v>
      </x:c>
      <x:c r="H110" s="46" t="n">
        <x:f>B110-C110</x:f>
        <x:v>34.4</x:v>
      </x:c>
      <x:c r="I110" s="46" t="n">
        <x:f>LN((B110+1)/(C110+1))</x:f>
        <x:v>0.6026331730191135</x:v>
      </x:c>
      <x:c r="J110" t="str">
        <x:f>IF(A110&lt;"1997-06","Antes","Después")</x:f>
        <x:v>Antes</x:v>
      </x:c>
      <x:c r="K110" t="str">
        <x:v>51025090</x:v>
      </x:c>
    </x:row>
    <x:row r="111">
      <x:c r="A111" t="str">
        <x:v>1994-10</x:v>
      </x:c>
      <x:c r="B111" s="44" t="n">
        <x:v>181</x:v>
      </x:c>
      <x:c r="C111" s="44" t="n">
        <x:v>166.3</x:v>
      </x:c>
      <x:c r="D111" t="n">
        <x:v>31</x:v>
      </x:c>
      <x:c r="E111" t="n">
        <x:v>31</x:v>
      </x:c>
      <x:c r="F111" s="46" t="n">
        <x:v>100</x:v>
      </x:c>
      <x:c r="G111" s="46" t="n">
        <x:v>100</x:v>
      </x:c>
      <x:c r="H111" s="46" t="n">
        <x:f>B111-C111</x:f>
        <x:v>14.699999999999989</x:v>
      </x:c>
      <x:c r="I111" s="46" t="n">
        <x:f>LN((B111+1)/(C111+1))</x:f>
        <x:v>0.08421807908401702</x:v>
      </x:c>
      <x:c r="J111" t="str">
        <x:f>IF(A111&lt;"1997-06","Antes","Después")</x:f>
        <x:v>Antes</x:v>
      </x:c>
      <x:c r="K111" t="str">
        <x:v>51025090</x:v>
      </x:c>
    </x:row>
    <x:row r="112">
      <x:c r="A112" t="str">
        <x:v>1994-11</x:v>
      </x:c>
      <x:c r="B112" s="44" t="n">
        <x:v>62</x:v>
      </x:c>
      <x:c r="C112" s="44" t="n">
        <x:v>62.6</x:v>
      </x:c>
      <x:c r="D112" t="n">
        <x:v>30</x:v>
      </x:c>
      <x:c r="E112" t="n">
        <x:v>30</x:v>
      </x:c>
      <x:c r="F112" s="46" t="n">
        <x:v>100</x:v>
      </x:c>
      <x:c r="G112" s="46" t="n">
        <x:v>100</x:v>
      </x:c>
      <x:c r="H112" s="46" t="n">
        <x:f>B112-C112</x:f>
        <x:v>-0.6000000000000014</x:v>
      </x:c>
      <x:c r="I112" s="46" t="n">
        <x:f>LN((B112+1)/(C112+1))</x:f>
        <x:v>-0.00947874395454377</x:v>
      </x:c>
      <x:c r="J112" t="str">
        <x:f>IF(A112&lt;"1997-06","Antes","Después")</x:f>
        <x:v>Antes</x:v>
      </x:c>
      <x:c r="K112" t="str">
        <x:v>51025090</x:v>
      </x:c>
    </x:row>
    <x:row r="113">
      <x:c r="A113" t="str">
        <x:v>1994-12</x:v>
      </x:c>
      <x:c r="B113" s="44" t="n">
        <x:v>244</x:v>
      </x:c>
      <x:c r="C113" s="44" t="n">
        <x:v>321.6</x:v>
      </x:c>
      <x:c r="D113" t="n">
        <x:v>31</x:v>
      </x:c>
      <x:c r="E113" t="n">
        <x:v>31</x:v>
      </x:c>
      <x:c r="F113" s="46" t="n">
        <x:v>100</x:v>
      </x:c>
      <x:c r="G113" s="46" t="n">
        <x:v>100</x:v>
      </x:c>
      <x:c r="H113" s="46" t="n">
        <x:f>B113-C113</x:f>
        <x:v>-77.60000000000002</x:v>
      </x:c>
      <x:c r="I113" s="46" t="n">
        <x:f>LN((B113+1)/(C113+1))</x:f>
        <x:v>-0.27515495514638155</x:v>
      </x:c>
      <x:c r="J113" t="str">
        <x:f>IF(A113&lt;"1997-06","Antes","Después")</x:f>
        <x:v>Antes</x:v>
      </x:c>
      <x:c r="K113" t="str">
        <x:v>51025090</x:v>
      </x:c>
    </x:row>
    <x:row r="114">
      <x:c r="A114" t="str">
        <x:v>1995-01</x:v>
      </x:c>
      <x:c r="B114" s="44" t="n">
        <x:v>106</x:v>
      </x:c>
      <x:c r="C114" s="44" t="n">
        <x:v>34.5</x:v>
      </x:c>
      <x:c r="D114" t="n">
        <x:v>31</x:v>
      </x:c>
      <x:c r="E114" t="n">
        <x:v>31</x:v>
      </x:c>
      <x:c r="F114" s="46" t="n">
        <x:v>100</x:v>
      </x:c>
      <x:c r="G114" s="46" t="n">
        <x:v>100</x:v>
      </x:c>
      <x:c r="H114" s="46" t="n">
        <x:f>B114-C114</x:f>
        <x:v>71.5</x:v>
      </x:c>
      <x:c r="I114" s="46" t="n">
        <x:f>LN((B114+1)/(C114+1))</x:f>
        <x:v>1.1032961379805362</x:v>
      </x:c>
      <x:c r="J114" t="str">
        <x:f>IF(A114&lt;"1997-06","Antes","Después")</x:f>
        <x:v>Antes</x:v>
      </x:c>
      <x:c r="K114" t="str">
        <x:v>51025090</x:v>
      </x:c>
    </x:row>
    <x:row r="115">
      <x:c r="A115" t="str">
        <x:v>1995-02</x:v>
      </x:c>
      <x:c r="B115" s="44" t="n">
        <x:v>119</x:v>
      </x:c>
      <x:c r="C115" s="44" t="n">
        <x:v>118.5</x:v>
      </x:c>
      <x:c r="D115" t="n">
        <x:v>28</x:v>
      </x:c>
      <x:c r="E115" t="n">
        <x:v>28</x:v>
      </x:c>
      <x:c r="F115" s="46" t="n">
        <x:v>100</x:v>
      </x:c>
      <x:c r="G115" s="46" t="n">
        <x:v>100</x:v>
      </x:c>
      <x:c r="H115" s="46" t="n">
        <x:f>B115-C115</x:f>
        <x:v>0.5</x:v>
      </x:c>
      <x:c r="I115" s="46" t="n">
        <x:f>LN((B115+1)/(C115+1))</x:f>
        <x:v>0.004175371410480592</x:v>
      </x:c>
      <x:c r="J115" t="str">
        <x:f>IF(A115&lt;"1997-06","Antes","Después")</x:f>
        <x:v>Antes</x:v>
      </x:c>
      <x:c r="K115" t="str">
        <x:v>51025090</x:v>
      </x:c>
    </x:row>
    <x:row r="116">
      <x:c r="A116" t="str">
        <x:v>1995-03</x:v>
      </x:c>
      <x:c r="B116" s="44" t="n">
        <x:v>54</x:v>
      </x:c>
      <x:c r="C116" s="44" t="n">
        <x:v>40.5</x:v>
      </x:c>
      <x:c r="D116" t="n">
        <x:v>31</x:v>
      </x:c>
      <x:c r="E116" t="n">
        <x:v>31</x:v>
      </x:c>
      <x:c r="F116" s="46" t="n">
        <x:v>100</x:v>
      </x:c>
      <x:c r="G116" s="46" t="n">
        <x:v>100</x:v>
      </x:c>
      <x:c r="H116" s="46" t="n">
        <x:f>B116-C116</x:f>
        <x:v>13.5</x:v>
      </x:c>
      <x:c r="I116" s="46" t="n">
        <x:f>LN((B116+1)/(C116+1))</x:f>
        <x:v>0.28163975799581836</x:v>
      </x:c>
      <x:c r="J116" t="str">
        <x:f>IF(A116&lt;"1997-06","Antes","Después")</x:f>
        <x:v>Antes</x:v>
      </x:c>
      <x:c r="K116" t="str">
        <x:v>51025090</x:v>
      </x:c>
    </x:row>
    <x:row r="117">
      <x:c r="A117" t="str">
        <x:v>1995-04</x:v>
      </x:c>
      <x:c r="B117" s="44" t="n">
        <x:v>351</x:v>
      </x:c>
      <x:c r="C117" s="44" t="n">
        <x:v>301.1</x:v>
      </x:c>
      <x:c r="D117" t="n">
        <x:v>30</x:v>
      </x:c>
      <x:c r="E117" t="n">
        <x:v>30</x:v>
      </x:c>
      <x:c r="F117" s="46" t="n">
        <x:v>100</x:v>
      </x:c>
      <x:c r="G117" s="46" t="n">
        <x:v>100</x:v>
      </x:c>
      <x:c r="H117" s="46" t="n">
        <x:f>B117-C117</x:f>
        <x:v>49.89999999999998</x:v>
      </x:c>
      <x:c r="I117" s="46" t="n">
        <x:f>LN((B117+1)/(C117+1))</x:f>
        <x:v>0.15287308720547066</x:v>
      </x:c>
      <x:c r="J117" t="str">
        <x:f>IF(A117&lt;"1997-06","Antes","Después")</x:f>
        <x:v>Antes</x:v>
      </x:c>
      <x:c r="K117" t="str">
        <x:v>51025090</x:v>
      </x:c>
    </x:row>
    <x:row r="118">
      <x:c r="A118" t="str">
        <x:v>1995-05</x:v>
      </x:c>
      <x:c r="B118" s="44" t="n">
        <x:v>445</x:v>
      </x:c>
      <x:c r="C118" s="44" t="n">
        <x:v>594.9</x:v>
      </x:c>
      <x:c r="D118" t="n">
        <x:v>31</x:v>
      </x:c>
      <x:c r="E118" t="n">
        <x:v>31</x:v>
      </x:c>
      <x:c r="F118" s="46" t="n">
        <x:v>100</x:v>
      </x:c>
      <x:c r="G118" s="46" t="n">
        <x:v>100</x:v>
      </x:c>
      <x:c r="H118" s="46" t="n">
        <x:f>B118-C118</x:f>
        <x:v>-149.89999999999998</x:v>
      </x:c>
      <x:c r="I118" s="46" t="n">
        <x:f>LN((B118+1)/(C118+1))</x:f>
        <x:v>-0.2897539157328692</x:v>
      </x:c>
      <x:c r="J118" t="str">
        <x:f>IF(A118&lt;"1997-06","Antes","Después")</x:f>
        <x:v>Antes</x:v>
      </x:c>
      <x:c r="K118" t="str">
        <x:v>51025090</x:v>
      </x:c>
    </x:row>
    <x:row r="119">
      <x:c r="A119" t="str">
        <x:v>1995-06</x:v>
      </x:c>
      <x:c r="B119" s="44" t="n">
        <x:v>213</x:v>
      </x:c>
      <x:c r="C119" s="44" t="n">
        <x:v>277.8</x:v>
      </x:c>
      <x:c r="D119" t="n">
        <x:v>30</x:v>
      </x:c>
      <x:c r="E119" t="n">
        <x:v>30</x:v>
      </x:c>
      <x:c r="F119" s="46" t="n">
        <x:v>100</x:v>
      </x:c>
      <x:c r="G119" s="46" t="n">
        <x:v>100</x:v>
      </x:c>
      <x:c r="H119" s="46" t="n">
        <x:f>B119-C119</x:f>
        <x:v>-64.80000000000001</x:v>
      </x:c>
      <x:c r="I119" s="46" t="n">
        <x:f>LN((B119+1)/(C119+1))</x:f>
        <x:v>-0.26451866386451733</x:v>
      </x:c>
      <x:c r="J119" t="str">
        <x:f>IF(A119&lt;"1997-06","Antes","Después")</x:f>
        <x:v>Antes</x:v>
      </x:c>
      <x:c r="K119" t="str">
        <x:v>51025090</x:v>
      </x:c>
    </x:row>
    <x:row r="120">
      <x:c r="A120" t="str">
        <x:v>1995-07</x:v>
      </x:c>
      <x:c r="B120" s="44" t="n">
        <x:v>194</x:v>
      </x:c>
      <x:c r="C120" s="44" t="n">
        <x:v>228.6</x:v>
      </x:c>
      <x:c r="D120" t="n">
        <x:v>31</x:v>
      </x:c>
      <x:c r="E120" t="n">
        <x:v>31</x:v>
      </x:c>
      <x:c r="F120" s="46" t="n">
        <x:v>100</x:v>
      </x:c>
      <x:c r="G120" s="46" t="n">
        <x:v>100</x:v>
      </x:c>
      <x:c r="H120" s="46" t="n">
        <x:f>B120-C120</x:f>
        <x:v>-34.599999999999994</x:v>
      </x:c>
      <x:c r="I120" s="46" t="n">
        <x:f>LN((B120+1)/(C120+1))</x:f>
        <x:v>-0.16333910588166448</x:v>
      </x:c>
      <x:c r="J120" t="str">
        <x:f>IF(A120&lt;"1997-06","Antes","Después")</x:f>
        <x:v>Antes</x:v>
      </x:c>
      <x:c r="K120" t="str">
        <x:v>51025090</x:v>
      </x:c>
    </x:row>
    <x:row r="121">
      <x:c r="A121" t="str">
        <x:v>1995-08</x:v>
      </x:c>
      <x:c r="B121" s="44" t="n">
        <x:v>135</x:v>
      </x:c>
      <x:c r="C121" s="44" t="n">
        <x:v>127</x:v>
      </x:c>
      <x:c r="D121" t="n">
        <x:v>31</x:v>
      </x:c>
      <x:c r="E121" t="n">
        <x:v>31</x:v>
      </x:c>
      <x:c r="F121" s="46" t="n">
        <x:v>100</x:v>
      </x:c>
      <x:c r="G121" s="46" t="n">
        <x:v>100</x:v>
      </x:c>
      <x:c r="H121" s="46" t="n">
        <x:f>B121-C121</x:f>
        <x:v>8</x:v>
      </x:c>
      <x:c r="I121" s="46" t="n">
        <x:f>LN((B121+1)/(C121+1))</x:f>
        <x:v>0.06062462181643484</x:v>
      </x:c>
      <x:c r="J121" t="str">
        <x:f>IF(A121&lt;"1997-06","Antes","Después")</x:f>
        <x:v>Antes</x:v>
      </x:c>
      <x:c r="K121" t="str">
        <x:v>51025090</x:v>
      </x:c>
    </x:row>
    <x:row r="122">
      <x:c r="A122" t="str">
        <x:v>1995-09</x:v>
      </x:c>
      <x:c r="B122" s="44" t="n">
        <x:v>79</x:v>
      </x:c>
      <x:c r="C122" s="44" t="n">
        <x:v>45.3</x:v>
      </x:c>
      <x:c r="D122" t="n">
        <x:v>30</x:v>
      </x:c>
      <x:c r="E122" t="n">
        <x:v>30</x:v>
      </x:c>
      <x:c r="F122" s="46" t="n">
        <x:v>100</x:v>
      </x:c>
      <x:c r="G122" s="46" t="n">
        <x:v>100</x:v>
      </x:c>
      <x:c r="H122" s="46" t="n">
        <x:f>B122-C122</x:f>
        <x:v>33.7</x:v>
      </x:c>
      <x:c r="I122" s="46" t="n">
        <x:f>LN((B122+1)/(C122+1))</x:f>
        <x:v>0.5468846735816933</x:v>
      </x:c>
      <x:c r="J122" t="str">
        <x:f>IF(A122&lt;"1997-06","Antes","Después")</x:f>
        <x:v>Antes</x:v>
      </x:c>
      <x:c r="K122" t="str">
        <x:v>51025090</x:v>
      </x:c>
    </x:row>
    <x:row r="123">
      <x:c r="A123" t="str">
        <x:v>1995-10</x:v>
      </x:c>
      <x:c r="B123" s="44" t="n">
        <x:v>242</x:v>
      </x:c>
      <x:c r="C123" s="44" t="n">
        <x:v>339.3</x:v>
      </x:c>
      <x:c r="D123" t="n">
        <x:v>31</x:v>
      </x:c>
      <x:c r="E123" t="n">
        <x:v>31</x:v>
      </x:c>
      <x:c r="F123" s="46" t="n">
        <x:v>100</x:v>
      </x:c>
      <x:c r="G123" s="46" t="n">
        <x:v>100</x:v>
      </x:c>
      <x:c r="H123" s="46" t="n">
        <x:f>B123-C123</x:f>
        <x:v>-97.30000000000001</x:v>
      </x:c>
      <x:c r="I123" s="46" t="n">
        <x:f>LN((B123+1)/(C123+1))</x:f>
        <x:v>-0.33676613816631157</x:v>
      </x:c>
      <x:c r="J123" t="str">
        <x:f>IF(A123&lt;"1997-06","Antes","Después")</x:f>
        <x:v>Antes</x:v>
      </x:c>
      <x:c r="K123" t="str">
        <x:v>51025090</x:v>
      </x:c>
    </x:row>
    <x:row r="124">
      <x:c r="A124" t="str">
        <x:v>1995-11</x:v>
      </x:c>
      <x:c r="B124" s="44" t="n">
        <x:v>136</x:v>
      </x:c>
      <x:c r="C124" s="44" t="n">
        <x:v>133.3</x:v>
      </x:c>
      <x:c r="D124" t="n">
        <x:v>30</x:v>
      </x:c>
      <x:c r="E124" t="n">
        <x:v>30</x:v>
      </x:c>
      <x:c r="F124" s="46" t="n">
        <x:v>100</x:v>
      </x:c>
      <x:c r="G124" s="46" t="n">
        <x:v>100</x:v>
      </x:c>
      <x:c r="H124" s="46" t="n">
        <x:f>B124-C124</x:f>
        <x:v>2.6999999999999886</x:v>
      </x:c>
      <x:c r="I124" s="46" t="n">
        <x:f>LN((B124+1)/(C124+1))</x:f>
        <x:v>0.01990482229893304</x:v>
      </x:c>
      <x:c r="J124" t="str">
        <x:f>IF(A124&lt;"1997-06","Antes","Después")</x:f>
        <x:v>Antes</x:v>
      </x:c>
      <x:c r="K124" t="str">
        <x:v>51025090</x:v>
      </x:c>
    </x:row>
    <x:row r="125">
      <x:c r="A125" t="str">
        <x:v>1995-12</x:v>
      </x:c>
      <x:c r="B125" s="44" t="n">
        <x:v>168</x:v>
      </x:c>
      <x:c r="C125" s="44" t="n">
        <x:v>108.4</x:v>
      </x:c>
      <x:c r="D125" t="n">
        <x:v>31</x:v>
      </x:c>
      <x:c r="E125" t="n">
        <x:v>31</x:v>
      </x:c>
      <x:c r="F125" s="46" t="n">
        <x:v>100</x:v>
      </x:c>
      <x:c r="G125" s="46" t="n">
        <x:v>100</x:v>
      </x:c>
      <x:c r="H125" s="46" t="n">
        <x:f>B125-C125</x:f>
        <x:v>59.599999999999994</x:v>
      </x:c>
      <x:c r="I125" s="46" t="n">
        <x:f>LN((B125+1)/(C125+1))</x:f>
        <x:v>0.4348878249351925</x:v>
      </x:c>
      <x:c r="J125" t="str">
        <x:f>IF(A125&lt;"1997-06","Antes","Después")</x:f>
        <x:v>Antes</x:v>
      </x:c>
      <x:c r="K125" t="str">
        <x:v>51025090</x:v>
      </x:c>
    </x:row>
    <x:row r="126">
      <x:c r="A126" t="str">
        <x:v>1996-01</x:v>
      </x:c>
      <x:c r="B126" s="44" t="n">
        <x:v>299</x:v>
      </x:c>
      <x:c r="C126" s="44" t="n">
        <x:v>339.1</x:v>
      </x:c>
      <x:c r="D126" t="n">
        <x:v>31</x:v>
      </x:c>
      <x:c r="E126" t="n">
        <x:v>31</x:v>
      </x:c>
      <x:c r="F126" s="46" t="n">
        <x:v>100</x:v>
      </x:c>
      <x:c r="G126" s="46" t="n">
        <x:v>100</x:v>
      </x:c>
      <x:c r="H126" s="46" t="n">
        <x:f>B126-C126</x:f>
        <x:v>-40.10000000000002</x:v>
      </x:c>
      <x:c r="I126" s="46" t="n">
        <x:f>LN((B126+1)/(C126+1))</x:f>
        <x:v>-0.1254572173569488</x:v>
      </x:c>
      <x:c r="J126" t="str">
        <x:f>IF(A126&lt;"1997-06","Antes","Después")</x:f>
        <x:v>Antes</x:v>
      </x:c>
      <x:c r="K126" t="str">
        <x:v>51025090</x:v>
      </x:c>
    </x:row>
    <x:row r="127">
      <x:c r="A127" t="str">
        <x:v>1996-02</x:v>
      </x:c>
      <x:c r="B127" s="44" t="n">
        <x:v>293</x:v>
      </x:c>
      <x:c r="C127" s="44" t="n">
        <x:v>375.4</x:v>
      </x:c>
      <x:c r="D127" t="n">
        <x:v>29</x:v>
      </x:c>
      <x:c r="E127" t="n">
        <x:v>28</x:v>
      </x:c>
      <x:c r="F127" s="46" t="n">
        <x:v>100</x:v>
      </x:c>
      <x:c r="G127" s="46" t="n">
        <x:v>96.55</x:v>
      </x:c>
      <x:c r="H127" s="46" t="n">
        <x:f>B127-C127</x:f>
        <x:v>-82.39999999999998</x:v>
      </x:c>
      <x:c r="I127" s="46" t="n">
        <x:f>LN((B127+1)/(C127+1))</x:f>
        <x:v>-0.24707264037254287</x:v>
      </x:c>
      <x:c r="J127" t="str">
        <x:f>IF(A127&lt;"1997-06","Antes","Después")</x:f>
        <x:v>Antes</x:v>
      </x:c>
      <x:c r="K127" t="str">
        <x:v>51025090</x:v>
      </x:c>
    </x:row>
    <x:row r="128">
      <x:c r="A128" t="str">
        <x:v>1996-03</x:v>
      </x:c>
      <x:c r="B128" s="44" t="n">
        <x:v>264</x:v>
      </x:c>
      <x:c r="C128" s="44" t="n">
        <x:v>475.5</x:v>
      </x:c>
      <x:c r="D128" t="n">
        <x:v>31</x:v>
      </x:c>
      <x:c r="E128" t="n">
        <x:v>31</x:v>
      </x:c>
      <x:c r="F128" s="46" t="n">
        <x:v>100</x:v>
      </x:c>
      <x:c r="G128" s="46" t="n">
        <x:v>100</x:v>
      </x:c>
      <x:c r="H128" s="46" t="n">
        <x:f>B128-C128</x:f>
        <x:v>-211.5</x:v>
      </x:c>
      <x:c r="I128" s="46" t="n">
        <x:f>LN((B128+1)/(C128+1))</x:f>
        <x:v>-0.5867378971080346</x:v>
      </x:c>
      <x:c r="J128" t="str">
        <x:f>IF(A128&lt;"1997-06","Antes","Después")</x:f>
        <x:v>Antes</x:v>
      </x:c>
      <x:c r="K128" t="str">
        <x:v>51025090</x:v>
      </x:c>
    </x:row>
    <x:row r="129">
      <x:c r="A129" t="str">
        <x:v>1996-04</x:v>
      </x:c>
      <x:c r="B129" s="44" t="n">
        <x:v>153</x:v>
      </x:c>
      <x:c r="C129" s="44" t="n">
        <x:v>391.9</x:v>
      </x:c>
      <x:c r="D129" t="n">
        <x:v>29</x:v>
      </x:c>
      <x:c r="E129" t="n">
        <x:v>30</x:v>
      </x:c>
      <x:c r="F129" s="46" t="n">
        <x:v>96.67</x:v>
      </x:c>
      <x:c r="G129" s="46" t="n">
        <x:v>100</x:v>
      </x:c>
      <x:c r="H129" s="46" t="n">
        <x:f>B129-C129</x:f>
        <x:v>-238.89999999999998</x:v>
      </x:c>
      <x:c r="I129" s="46" t="n">
        <x:f>LN((B129+1)/(C129+1))</x:f>
        <x:v>-0.9366025241507849</x:v>
      </x:c>
      <x:c r="J129" t="str">
        <x:f>IF(A129&lt;"1997-06","Antes","Después")</x:f>
        <x:v>Antes</x:v>
      </x:c>
      <x:c r="K129" t="str">
        <x:v>51025090</x:v>
      </x:c>
    </x:row>
    <x:row r="130">
      <x:c r="A130" t="str">
        <x:v>1996-05</x:v>
      </x:c>
      <x:c r="B130" s="44" t="n">
        <x:v>421</x:v>
      </x:c>
      <x:c r="C130" s="44" t="n">
        <x:v>486.9</x:v>
      </x:c>
      <x:c r="D130" t="n">
        <x:v>31</x:v>
      </x:c>
      <x:c r="E130" t="n">
        <x:v>31</x:v>
      </x:c>
      <x:c r="F130" s="46" t="n">
        <x:v>100</x:v>
      </x:c>
      <x:c r="G130" s="46" t="n">
        <x:v>100</x:v>
      </x:c>
      <x:c r="H130" s="46" t="n">
        <x:f>B130-C130</x:f>
        <x:v>-65.89999999999998</x:v>
      </x:c>
      <x:c r="I130" s="46" t="n">
        <x:f>LN((B130+1)/(C130+1))</x:f>
        <x:v>-0.1451051527857797</x:v>
      </x:c>
      <x:c r="J130" t="str">
        <x:f>IF(A130&lt;"1997-06","Antes","Después")</x:f>
        <x:v>Antes</x:v>
      </x:c>
      <x:c r="K130" t="str">
        <x:v>51025090</x:v>
      </x:c>
    </x:row>
    <x:row r="131">
      <x:c r="A131" t="str">
        <x:v>1996-06</x:v>
      </x:c>
      <x:c r="B131" s="44" t="n">
        <x:v>130</x:v>
      </x:c>
      <x:c r="C131" s="44" t="n">
        <x:v>214.6</x:v>
      </x:c>
      <x:c r="D131" t="n">
        <x:v>29</x:v>
      </x:c>
      <x:c r="E131" t="n">
        <x:v>29</x:v>
      </x:c>
      <x:c r="F131" s="46" t="n">
        <x:v>96.67</x:v>
      </x:c>
      <x:c r="G131" s="46" t="n">
        <x:v>96.67</x:v>
      </x:c>
      <x:c r="H131" s="46" t="n">
        <x:f>B131-C131</x:f>
        <x:v>-84.6</x:v>
      </x:c>
      <x:c r="I131" s="46" t="n">
        <x:f>LN((B131+1)/(C131+1))</x:f>
        <x:v>-0.49822751583369057</x:v>
      </x:c>
      <x:c r="J131" t="str">
        <x:f>IF(A131&lt;"1997-06","Antes","Después")</x:f>
        <x:v>Antes</x:v>
      </x:c>
      <x:c r="K131" t="str">
        <x:v>51025090</x:v>
      </x:c>
    </x:row>
    <x:row r="132">
      <x:c r="A132" t="str">
        <x:v>1996-07</x:v>
      </x:c>
      <x:c r="B132" s="44" t="n">
        <x:v>78</x:v>
      </x:c>
      <x:c r="C132" s="44" t="n">
        <x:v>119.3</x:v>
      </x:c>
      <x:c r="D132" t="n">
        <x:v>31</x:v>
      </x:c>
      <x:c r="E132" t="n">
        <x:v>31</x:v>
      </x:c>
      <x:c r="F132" s="46" t="n">
        <x:v>100</x:v>
      </x:c>
      <x:c r="G132" s="46" t="n">
        <x:v>100</x:v>
      </x:c>
      <x:c r="H132" s="46" t="n">
        <x:f>B132-C132</x:f>
        <x:v>-41.3</x:v>
      </x:c>
      <x:c r="I132" s="46" t="n">
        <x:f>LN((B132+1)/(C132+1))</x:f>
        <x:v>-0.42054077051361166</x:v>
      </x:c>
      <x:c r="J132" t="str">
        <x:f>IF(A132&lt;"1997-06","Antes","Después")</x:f>
        <x:v>Antes</x:v>
      </x:c>
      <x:c r="K132" t="str">
        <x:v>51025090</x:v>
      </x:c>
    </x:row>
    <x:row r="133">
      <x:c r="A133" t="str">
        <x:v>1996-08</x:v>
      </x:c>
      <x:c r="B133" s="44" t="n">
        <x:v>45</x:v>
      </x:c>
      <x:c r="C133" s="44" t="n">
        <x:v>181.9</x:v>
      </x:c>
      <x:c r="D133" t="n">
        <x:v>31</x:v>
      </x:c>
      <x:c r="E133" t="n">
        <x:v>31</x:v>
      </x:c>
      <x:c r="F133" s="46" t="n">
        <x:v>100</x:v>
      </x:c>
      <x:c r="G133" s="46" t="n">
        <x:v>100</x:v>
      </x:c>
      <x:c r="H133" s="46" t="n">
        <x:f>B133-C133</x:f>
        <x:v>-136.9</x:v>
      </x:c>
      <x:c r="I133" s="46" t="n">
        <x:f>LN((B133+1)/(C133+1))</x:f>
        <x:v>-1.380298158907725</x:v>
      </x:c>
      <x:c r="J133" t="str">
        <x:f>IF(A133&lt;"1997-06","Antes","Después")</x:f>
        <x:v>Antes</x:v>
      </x:c>
      <x:c r="K133" t="str">
        <x:v>51025090</x:v>
      </x:c>
    </x:row>
    <x:row r="134">
      <x:c r="A134" t="str">
        <x:v>1996-09</x:v>
      </x:c>
      <x:c r="B134" s="44" t="n">
        <x:v>89</x:v>
      </x:c>
      <x:c r="C134" s="44" t="n">
        <x:v>113.1</x:v>
      </x:c>
      <x:c r="D134" t="n">
        <x:v>30</x:v>
      </x:c>
      <x:c r="E134" t="n">
        <x:v>30</x:v>
      </x:c>
      <x:c r="F134" s="46" t="n">
        <x:v>100</x:v>
      </x:c>
      <x:c r="G134" s="46" t="n">
        <x:v>100</x:v>
      </x:c>
      <x:c r="H134" s="46" t="n">
        <x:f>B134-C134</x:f>
        <x:v>-24.099999999999994</x:v>
      </x:c>
      <x:c r="I134" s="46" t="n">
        <x:f>LN((B134+1)/(C134+1))</x:f>
        <x:v>-0.23726558653776478</x:v>
      </x:c>
      <x:c r="J134" t="str">
        <x:f>IF(A134&lt;"1997-06","Antes","Después")</x:f>
        <x:v>Antes</x:v>
      </x:c>
      <x:c r="K134" t="str">
        <x:v>51025090</x:v>
      </x:c>
    </x:row>
    <x:row r="135">
      <x:c r="A135" t="str">
        <x:v>1996-10</x:v>
      </x:c>
      <x:c r="B135" s="44" t="n">
        <x:v>51</x:v>
      </x:c>
      <x:c r="C135" s="44" t="n">
        <x:v>59.2</x:v>
      </x:c>
      <x:c r="D135" t="n">
        <x:v>31</x:v>
      </x:c>
      <x:c r="E135" t="n">
        <x:v>31</x:v>
      </x:c>
      <x:c r="F135" s="46" t="n">
        <x:v>100</x:v>
      </x:c>
      <x:c r="G135" s="46" t="n">
        <x:v>100</x:v>
      </x:c>
      <x:c r="H135" s="46" t="n">
        <x:f>B135-C135</x:f>
        <x:v>-8.200000000000003</x:v>
      </x:c>
      <x:c r="I135" s="46" t="n">
        <x:f>LN((B135+1)/(C135+1))</x:f>
        <x:v>-0.146428633733348</x:v>
      </x:c>
      <x:c r="J135" t="str">
        <x:f>IF(A135&lt;"1997-06","Antes","Después")</x:f>
        <x:v>Antes</x:v>
      </x:c>
      <x:c r="K135" t="str">
        <x:v>51025090</x:v>
      </x:c>
    </x:row>
    <x:row r="136">
      <x:c r="A136" t="str">
        <x:v>1996-11</x:v>
      </x:c>
      <x:c r="B136" s="44" t="n">
        <x:v>14</x:v>
      </x:c>
      <x:c r="C136" s="44" t="n">
        <x:v>30.8</x:v>
      </x:c>
      <x:c r="D136" t="n">
        <x:v>30</x:v>
      </x:c>
      <x:c r="E136" t="n">
        <x:v>30</x:v>
      </x:c>
      <x:c r="F136" s="46" t="n">
        <x:v>100</x:v>
      </x:c>
      <x:c r="G136" s="46" t="n">
        <x:v>100</x:v>
      </x:c>
      <x:c r="H136" s="46" t="n">
        <x:f>B136-C136</x:f>
        <x:v>-16.8</x:v>
      </x:c>
      <x:c r="I136" s="46" t="n">
        <x:f>LN((B136+1)/(C136+1))</x:f>
        <x:v>-0.7514160886839211</x:v>
      </x:c>
      <x:c r="J136" t="str">
        <x:f>IF(A136&lt;"1997-06","Antes","Después")</x:f>
        <x:v>Antes</x:v>
      </x:c>
      <x:c r="K136" t="str">
        <x:v>51025090</x:v>
      </x:c>
    </x:row>
    <x:row r="137">
      <x:c r="A137" t="str">
        <x:v>1996-12</x:v>
      </x:c>
      <x:c r="B137" s="44" t="n">
        <x:v>156</x:v>
      </x:c>
      <x:c r="C137" s="44" t="n">
        <x:v>99.8</x:v>
      </x:c>
      <x:c r="D137" t="n">
        <x:v>31</x:v>
      </x:c>
      <x:c r="E137" t="n">
        <x:v>31</x:v>
      </x:c>
      <x:c r="F137" s="46" t="n">
        <x:v>100</x:v>
      </x:c>
      <x:c r="G137" s="46" t="n">
        <x:v>100</x:v>
      </x:c>
      <x:c r="H137" s="46" t="n">
        <x:f>B137-C137</x:f>
        <x:v>56.2</x:v>
      </x:c>
      <x:c r="I137" s="46" t="n">
        <x:f>LN((B137+1)/(C137+1))</x:f>
        <x:v>0.4431074497110398</x:v>
      </x:c>
      <x:c r="J137" t="str">
        <x:f>IF(A137&lt;"1997-06","Antes","Después")</x:f>
        <x:v>Antes</x:v>
      </x:c>
      <x:c r="K137" t="str">
        <x:v>51025090</x:v>
      </x:c>
    </x:row>
    <x:row r="138">
      <x:c r="A138" t="str">
        <x:v>1997-01</x:v>
      </x:c>
      <x:c r="B138" s="44" t="n">
        <x:v>126</x:v>
      </x:c>
      <x:c r="C138" s="44" t="n">
        <x:v>371.3</x:v>
      </x:c>
      <x:c r="D138" t="n">
        <x:v>31</x:v>
      </x:c>
      <x:c r="E138" t="n">
        <x:v>31</x:v>
      </x:c>
      <x:c r="F138" s="46" t="n">
        <x:v>100</x:v>
      </x:c>
      <x:c r="G138" s="46" t="n">
        <x:v>100</x:v>
      </x:c>
      <x:c r="H138" s="46" t="n">
        <x:f>B138-C138</x:f>
        <x:v>-245.3</x:v>
      </x:c>
      <x:c r="I138" s="46" t="n">
        <x:f>LN((B138+1)/(C138+1))</x:f>
        <x:v>-1.07551289442008</x:v>
      </x:c>
      <x:c r="J138" t="str">
        <x:f>IF(A138&lt;"1997-06","Antes","Después")</x:f>
        <x:v>Antes</x:v>
      </x:c>
      <x:c r="K138" t="str">
        <x:v>51025090</x:v>
      </x:c>
    </x:row>
    <x:row r="139">
      <x:c r="A139" t="str">
        <x:v>1997-02</x:v>
      </x:c>
      <x:c r="B139" s="44" t="n">
        <x:v>131</x:v>
      </x:c>
      <x:c r="C139" s="44" t="n">
        <x:v>417</x:v>
      </x:c>
      <x:c r="D139" t="n">
        <x:v>28</x:v>
      </x:c>
      <x:c r="E139" t="n">
        <x:v>28</x:v>
      </x:c>
      <x:c r="F139" s="46" t="n">
        <x:v>100</x:v>
      </x:c>
      <x:c r="G139" s="46" t="n">
        <x:v>100</x:v>
      </x:c>
      <x:c r="H139" s="46" t="n">
        <x:f>B139-C139</x:f>
        <x:v>-286</x:v>
      </x:c>
      <x:c r="I139" s="46" t="n">
        <x:f>LN((B139+1)/(C139+1))</x:f>
        <x:v>-1.1526795099383855</x:v>
      </x:c>
      <x:c r="J139" t="str">
        <x:f>IF(A139&lt;"1997-06","Antes","Después")</x:f>
        <x:v>Antes</x:v>
      </x:c>
      <x:c r="K139" t="str">
        <x:v>51025090</x:v>
      </x:c>
    </x:row>
    <x:row r="140">
      <x:c r="A140" t="str">
        <x:v>1997-03</x:v>
      </x:c>
      <x:c r="B140" s="44" t="n">
        <x:v>118</x:v>
      </x:c>
      <x:c r="C140" s="44" t="n">
        <x:v>193.9</x:v>
      </x:c>
      <x:c r="D140" t="n">
        <x:v>31</x:v>
      </x:c>
      <x:c r="E140" t="n">
        <x:v>31</x:v>
      </x:c>
      <x:c r="F140" s="46" t="n">
        <x:v>100</x:v>
      </x:c>
      <x:c r="G140" s="46" t="n">
        <x:v>100</x:v>
      </x:c>
      <x:c r="H140" s="46" t="n">
        <x:f>B140-C140</x:f>
        <x:v>-75.9</x:v>
      </x:c>
      <x:c r="I140" s="46" t="n">
        <x:f>LN((B140+1)/(C140+1))</x:f>
        <x:v>-0.49336311340198574</x:v>
      </x:c>
      <x:c r="J140" t="str">
        <x:f>IF(A140&lt;"1997-06","Antes","Después")</x:f>
        <x:v>Antes</x:v>
      </x:c>
      <x:c r="K140" t="str">
        <x:v>51025090</x:v>
      </x:c>
    </x:row>
    <x:row r="141">
      <x:c r="A141" t="str">
        <x:v>1997-04</x:v>
      </x:c>
      <x:c r="B141" s="44" t="n">
        <x:v>242</x:v>
      </x:c>
      <x:c r="C141" s="44" t="n">
        <x:v>358.5</x:v>
      </x:c>
      <x:c r="D141" t="n">
        <x:v>30</x:v>
      </x:c>
      <x:c r="E141" t="n">
        <x:v>30</x:v>
      </x:c>
      <x:c r="F141" s="46" t="n">
        <x:v>100</x:v>
      </x:c>
      <x:c r="G141" s="46" t="n">
        <x:v>100</x:v>
      </x:c>
      <x:c r="H141" s="46" t="n">
        <x:f>B141-C141</x:f>
        <x:v>-116.5</x:v>
      </x:c>
      <x:c r="I141" s="46" t="n">
        <x:f>LN((B141+1)/(C141+1))</x:f>
        <x:v>-0.39165273382055293</x:v>
      </x:c>
      <x:c r="J141" t="str">
        <x:f>IF(A141&lt;"1997-06","Antes","Después")</x:f>
        <x:v>Antes</x:v>
      </x:c>
      <x:c r="K141" t="str">
        <x:v>51025090</x:v>
      </x:c>
    </x:row>
    <x:row r="142">
      <x:c r="A142" t="str">
        <x:v>1997-05</x:v>
      </x:c>
      <x:c r="B142" s="44" t="n">
        <x:v>376</x:v>
      </x:c>
      <x:c r="C142" s="44" t="n">
        <x:v>310.1</x:v>
      </x:c>
      <x:c r="D142" t="n">
        <x:v>31</x:v>
      </x:c>
      <x:c r="E142" t="n">
        <x:v>31</x:v>
      </x:c>
      <x:c r="F142" s="46" t="n">
        <x:v>100</x:v>
      </x:c>
      <x:c r="G142" s="46" t="n">
        <x:v>100</x:v>
      </x:c>
      <x:c r="H142" s="46" t="n">
        <x:f>B142-C142</x:f>
        <x:v>65.89999999999998</x:v>
      </x:c>
      <x:c r="I142" s="46" t="n">
        <x:f>LN((B142+1)/(C142+1))</x:f>
        <x:v>0.1921307835444194</x:v>
      </x:c>
      <x:c r="J142" t="str">
        <x:f>IF(A142&lt;"1997-06","Antes","Después")</x:f>
        <x:v>Antes</x:v>
      </x:c>
      <x:c r="K142" t="str">
        <x:v>51025090</x:v>
      </x:c>
    </x:row>
    <x:row r="143">
      <x:c r="A143" t="str">
        <x:v>1997-06</x:v>
      </x:c>
      <x:c r="B143" s="44" t="n">
        <x:v>115</x:v>
      </x:c>
      <x:c r="C143" s="44" t="n">
        <x:v>253.7</x:v>
      </x:c>
      <x:c r="D143" t="n">
        <x:v>30</x:v>
      </x:c>
      <x:c r="E143" t="n">
        <x:v>30</x:v>
      </x:c>
      <x:c r="F143" s="46" t="n">
        <x:v>100</x:v>
      </x:c>
      <x:c r="G143" s="46" t="n">
        <x:v>100</x:v>
      </x:c>
      <x:c r="H143" s="46" t="n">
        <x:f>B143-C143</x:f>
        <x:v>-138.7</x:v>
      </x:c>
      <x:c r="I143" s="46" t="n">
        <x:f>LN((B143+1)/(C143+1))</x:f>
        <x:v>-0.7864961908790467</x:v>
      </x:c>
      <x:c r="J143" t="str">
        <x:f>IF(A143&lt;"1997-06","Antes","Después")</x:f>
        <x:v>Después</x:v>
      </x:c>
      <x:c r="K143" t="str">
        <x:v>51025090</x:v>
      </x:c>
    </x:row>
    <x:row r="144">
      <x:c r="A144" t="str">
        <x:v>1997-07</x:v>
      </x:c>
      <x:c r="B144" s="44" t="n">
        <x:v>284</x:v>
      </x:c>
      <x:c r="C144" s="44" t="n">
        <x:v>252.9</x:v>
      </x:c>
      <x:c r="D144" t="n">
        <x:v>31</x:v>
      </x:c>
      <x:c r="E144" t="n">
        <x:v>31</x:v>
      </x:c>
      <x:c r="F144" s="46" t="n">
        <x:v>100</x:v>
      </x:c>
      <x:c r="G144" s="46" t="n">
        <x:v>100</x:v>
      </x:c>
      <x:c r="H144" s="46" t="n">
        <x:f>B144-C144</x:f>
        <x:v>31.099999999999994</x:v>
      </x:c>
      <x:c r="I144" s="46" t="n">
        <x:f>LN((B144+1)/(C144+1))</x:f>
        <x:v>0.11554869155801784</x:v>
      </x:c>
      <x:c r="J144" t="str">
        <x:f>IF(A144&lt;"1997-06","Antes","Después")</x:f>
        <x:v>Después</x:v>
      </x:c>
      <x:c r="K144" t="str">
        <x:v>51025090</x:v>
      </x:c>
    </x:row>
    <x:row r="145">
      <x:c r="A145" t="str">
        <x:v>1997-08</x:v>
      </x:c>
      <x:c r="B145" s="44" t="n">
        <x:v>142</x:v>
      </x:c>
      <x:c r="C145" s="44" t="n">
        <x:v>179.4</x:v>
      </x:c>
      <x:c r="D145" t="n">
        <x:v>31</x:v>
      </x:c>
      <x:c r="E145" t="n">
        <x:v>30</x:v>
      </x:c>
      <x:c r="F145" s="46" t="n">
        <x:v>100</x:v>
      </x:c>
      <x:c r="G145" s="46" t="n">
        <x:v>96.77</x:v>
      </x:c>
      <x:c r="H145" s="46" t="n">
        <x:f>B145-C145</x:f>
        <x:v>-37.400000000000006</x:v>
      </x:c>
      <x:c r="I145" s="46" t="n">
        <x:f>LN((B145+1)/(C145+1))</x:f>
        <x:v>-0.2323319773686161</x:v>
      </x:c>
      <x:c r="J145" t="str">
        <x:f>IF(A145&lt;"1997-06","Antes","Después")</x:f>
        <x:v>Después</x:v>
      </x:c>
      <x:c r="K145" t="str">
        <x:v>51025090</x:v>
      </x:c>
    </x:row>
    <x:row r="146">
      <x:c r="A146" t="str">
        <x:v>1997-09</x:v>
      </x:c>
      <x:c r="B146" s="44" t="n">
        <x:v>67</x:v>
      </x:c>
      <x:c r="C146" s="44" t="n">
        <x:v>346.6</x:v>
      </x:c>
      <x:c r="D146" t="n">
        <x:v>30</x:v>
      </x:c>
      <x:c r="E146" t="n">
        <x:v>30</x:v>
      </x:c>
      <x:c r="F146" s="46" t="n">
        <x:v>100</x:v>
      </x:c>
      <x:c r="G146" s="46" t="n">
        <x:v>100</x:v>
      </x:c>
      <x:c r="H146" s="46" t="n">
        <x:f>B146-C146</x:f>
        <x:v>-279.6</x:v>
      </x:c>
      <x:c r="I146" s="46" t="n">
        <x:f>LN((B146+1)/(C146+1))</x:f>
        <x:v>-1.6315446882151303</x:v>
      </x:c>
      <x:c r="J146" t="str">
        <x:f>IF(A146&lt;"1997-06","Antes","Después")</x:f>
        <x:v>Después</x:v>
      </x:c>
      <x:c r="K146" t="str">
        <x:v>51025090</x:v>
      </x:c>
    </x:row>
    <x:row r="147">
      <x:c r="A147" t="str">
        <x:v>1997-10</x:v>
      </x:c>
      <x:c r="B147" s="44" t="n">
        <x:v>330</x:v>
      </x:c>
      <x:c r="C147" s="44" t="n">
        <x:v>524.6</x:v>
      </x:c>
      <x:c r="D147" t="n">
        <x:v>31</x:v>
      </x:c>
      <x:c r="E147" t="n">
        <x:v>31</x:v>
      </x:c>
      <x:c r="F147" s="46" t="n">
        <x:v>100</x:v>
      </x:c>
      <x:c r="G147" s="46" t="n">
        <x:v>100</x:v>
      </x:c>
      <x:c r="H147" s="46" t="n">
        <x:f>B147-C147</x:f>
        <x:v>-194.60000000000002</x:v>
      </x:c>
      <x:c r="I147" s="46" t="n">
        <x:f>LN((B147+1)/(C147+1))</x:f>
        <x:v>-0.46242209179333793</x:v>
      </x:c>
      <x:c r="J147" t="str">
        <x:f>IF(A147&lt;"1997-06","Antes","Después")</x:f>
        <x:v>Después</x:v>
      </x:c>
      <x:c r="K147" t="str">
        <x:v>51025090</x:v>
      </x:c>
    </x:row>
    <x:row r="148">
      <x:c r="A148" t="str">
        <x:v>1997-11</x:v>
      </x:c>
      <x:c r="B148" s="44" t="n">
        <x:v>312</x:v>
      </x:c>
      <x:c r="C148" s="44" t="n">
        <x:v>469.7</x:v>
      </x:c>
      <x:c r="D148" t="n">
        <x:v>30</x:v>
      </x:c>
      <x:c r="E148" t="n">
        <x:v>29</x:v>
      </x:c>
      <x:c r="F148" s="46" t="n">
        <x:v>100</x:v>
      </x:c>
      <x:c r="G148" s="46" t="n">
        <x:v>96.67</x:v>
      </x:c>
      <x:c r="H148" s="46" t="n">
        <x:f>B148-C148</x:f>
        <x:v>-157.7</x:v>
      </x:c>
      <x:c r="I148" s="46" t="n">
        <x:f>LN((B148+1)/(C148+1))</x:f>
        <x:v>-0.4080177578669434</x:v>
      </x:c>
      <x:c r="J148" t="str">
        <x:f>IF(A148&lt;"1997-06","Antes","Después")</x:f>
        <x:v>Después</x:v>
      </x:c>
      <x:c r="K148" t="str">
        <x:v>51025090</x:v>
      </x:c>
    </x:row>
    <x:row r="149">
      <x:c r="A149" t="str">
        <x:v>1997-12</x:v>
      </x:c>
      <x:c r="B149" s="44" t="n">
        <x:v>205</x:v>
      </x:c>
      <x:c r="C149" s="44" t="n">
        <x:v>184.3</x:v>
      </x:c>
      <x:c r="D149" t="n">
        <x:v>31</x:v>
      </x:c>
      <x:c r="E149" t="n">
        <x:v>30</x:v>
      </x:c>
      <x:c r="F149" s="46" t="n">
        <x:v>100</x:v>
      </x:c>
      <x:c r="G149" s="46" t="n">
        <x:v>96.77</x:v>
      </x:c>
      <x:c r="H149" s="46" t="n">
        <x:f>B149-C149</x:f>
        <x:v>20.69999999999999</x:v>
      </x:c>
      <x:c r="I149" s="46" t="n">
        <x:f>LN((B149+1)/(C149+1))</x:f>
        <x:v>0.10590003549826692</x:v>
      </x:c>
      <x:c r="J149" t="str">
        <x:f>IF(A149&lt;"1997-06","Antes","Después")</x:f>
        <x:v>Después</x:v>
      </x:c>
      <x:c r="K149" t="str">
        <x:v>51025090</x:v>
      </x:c>
    </x:row>
    <x:row r="150">
      <x:c r="A150" t="str">
        <x:v>1998-01</x:v>
      </x:c>
      <x:c r="B150" s="44" t="n">
        <x:v>597</x:v>
      </x:c>
      <x:c r="C150" s="44" t="n">
        <x:v>597.1</x:v>
      </x:c>
      <x:c r="D150" t="n">
        <x:v>31</x:v>
      </x:c>
      <x:c r="E150" t="n">
        <x:v>31</x:v>
      </x:c>
      <x:c r="F150" s="46" t="n">
        <x:v>100</x:v>
      </x:c>
      <x:c r="G150" s="46" t="n">
        <x:v>100</x:v>
      </x:c>
      <x:c r="H150" s="46" t="n">
        <x:f>B150-C150</x:f>
        <x:v>-0.10000000000002274</x:v>
      </x:c>
      <x:c r="I150" s="46" t="n">
        <x:f>LN((B150+1)/(C150+1))</x:f>
        <x:v>-0.00016721009987959013</x:v>
      </x:c>
      <x:c r="J150" t="str">
        <x:f>IF(A150&lt;"1997-06","Antes","Después")</x:f>
        <x:v>Después</x:v>
      </x:c>
      <x:c r="K150" t="str">
        <x:v>51025090</x:v>
      </x:c>
    </x:row>
    <x:row r="151">
      <x:c r="A151" t="str">
        <x:v>1998-02</x:v>
      </x:c>
      <x:c r="B151" s="44" t="n">
        <x:v>527</x:v>
      </x:c>
      <x:c r="C151" s="44" t="n">
        <x:v>536.1</x:v>
      </x:c>
      <x:c r="D151" t="n">
        <x:v>28</x:v>
      </x:c>
      <x:c r="E151" t="n">
        <x:v>28</x:v>
      </x:c>
      <x:c r="F151" s="46" t="n">
        <x:v>100</x:v>
      </x:c>
      <x:c r="G151" s="46" t="n">
        <x:v>100</x:v>
      </x:c>
      <x:c r="H151" s="46" t="n">
        <x:f>B151-C151</x:f>
        <x:v>-9.100000000000023</x:v>
      </x:c>
      <x:c r="I151" s="46" t="n">
        <x:f>LN((B151+1)/(C151+1))</x:f>
        <x:v>-0.017088013205152183</x:v>
      </x:c>
      <x:c r="J151" t="str">
        <x:f>IF(A151&lt;"1997-06","Antes","Después")</x:f>
        <x:v>Después</x:v>
      </x:c>
      <x:c r="K151" t="str">
        <x:v>51025090</x:v>
      </x:c>
    </x:row>
    <x:row r="152">
      <x:c r="A152" t="str">
        <x:v>1998-03</x:v>
      </x:c>
      <x:c r="B152" s="44" t="n">
        <x:v>372</x:v>
      </x:c>
      <x:c r="C152" s="44" t="n">
        <x:v>447.6</x:v>
      </x:c>
      <x:c r="D152" t="n">
        <x:v>31</x:v>
      </x:c>
      <x:c r="E152" t="n">
        <x:v>31</x:v>
      </x:c>
      <x:c r="F152" s="46" t="n">
        <x:v>100</x:v>
      </x:c>
      <x:c r="G152" s="46" t="n">
        <x:v>100</x:v>
      </x:c>
      <x:c r="H152" s="46" t="n">
        <x:f>B152-C152</x:f>
        <x:v>-75.60000000000002</x:v>
      </x:c>
      <x:c r="I152" s="46" t="n">
        <x:f>LN((B152+1)/(C152+1))</x:f>
        <x:v>-0.1845532024422924</x:v>
      </x:c>
      <x:c r="J152" t="str">
        <x:f>IF(A152&lt;"1997-06","Antes","Después")</x:f>
        <x:v>Después</x:v>
      </x:c>
      <x:c r="K152" t="str">
        <x:v>51025090</x:v>
      </x:c>
    </x:row>
    <x:row r="153">
      <x:c r="A153" t="str">
        <x:v>1998-04</x:v>
      </x:c>
      <x:c r="B153" s="44" t="n">
        <x:v>399</x:v>
      </x:c>
      <x:c r="C153" s="44" t="n">
        <x:v>492.7</x:v>
      </x:c>
      <x:c r="D153" t="n">
        <x:v>30</x:v>
      </x:c>
      <x:c r="E153" t="n">
        <x:v>29</x:v>
      </x:c>
      <x:c r="F153" s="46" t="n">
        <x:v>100</x:v>
      </x:c>
      <x:c r="G153" s="46" t="n">
        <x:v>96.67</x:v>
      </x:c>
      <x:c r="H153" s="46" t="n">
        <x:f>B153-C153</x:f>
        <x:v>-93.69999999999999</x:v>
      </x:c>
      <x:c r="I153" s="46" t="n">
        <x:f>LN((B153+1)/(C153+1))</x:f>
        <x:v>-0.21046349815683518</x:v>
      </x:c>
      <x:c r="J153" t="str">
        <x:f>IF(A153&lt;"1997-06","Antes","Después")</x:f>
        <x:v>Después</x:v>
      </x:c>
      <x:c r="K153" t="str">
        <x:v>51025090</x:v>
      </x:c>
    </x:row>
    <x:row r="154">
      <x:c r="A154" t="str">
        <x:v>1998-05</x:v>
      </x:c>
      <x:c r="B154" s="44" t="n">
        <x:v>565</x:v>
      </x:c>
      <x:c r="C154" s="44" t="n">
        <x:v>421.7</x:v>
      </x:c>
      <x:c r="D154" t="n">
        <x:v>31</x:v>
      </x:c>
      <x:c r="E154" t="n">
        <x:v>31</x:v>
      </x:c>
      <x:c r="F154" s="46" t="n">
        <x:v>100</x:v>
      </x:c>
      <x:c r="G154" s="46" t="n">
        <x:v>100</x:v>
      </x:c>
      <x:c r="H154" s="46" t="n">
        <x:f>B154-C154</x:f>
        <x:v>143.3</x:v>
      </x:c>
      <x:c r="I154" s="46" t="n">
        <x:f>LN((B154+1)/(C154+1))</x:f>
        <x:v>0.29193137063043867</x:v>
      </x:c>
      <x:c r="J154" t="str">
        <x:f>IF(A154&lt;"1997-06","Antes","Después")</x:f>
        <x:v>Después</x:v>
      </x:c>
      <x:c r="K154" t="str">
        <x:v>51025090</x:v>
      </x:c>
    </x:row>
    <x:row r="155">
      <x:c r="A155" t="str">
        <x:v>1998-06</x:v>
      </x:c>
      <x:c r="B155" s="44" t="n">
        <x:v>524</x:v>
      </x:c>
      <x:c r="C155" s="44" t="n">
        <x:v>411.1</x:v>
      </x:c>
      <x:c r="D155" t="n">
        <x:v>30</x:v>
      </x:c>
      <x:c r="E155" t="n">
        <x:v>30</x:v>
      </x:c>
      <x:c r="F155" s="46" t="n">
        <x:v>100</x:v>
      </x:c>
      <x:c r="G155" s="46" t="n">
        <x:v>100</x:v>
      </x:c>
      <x:c r="H155" s="46" t="n">
        <x:f>B155-C155</x:f>
        <x:v>112.89999999999998</x:v>
      </x:c>
      <x:c r="I155" s="46" t="n">
        <x:f>LN((B155+1)/(C155+1))</x:f>
        <x:v>0.242132224246852</x:v>
      </x:c>
      <x:c r="J155" t="str">
        <x:f>IF(A155&lt;"1997-06","Antes","Después")</x:f>
        <x:v>Después</x:v>
      </x:c>
      <x:c r="K155" t="str">
        <x:v>51025090</x:v>
      </x:c>
    </x:row>
    <x:row r="156">
      <x:c r="A156" t="str">
        <x:v>1998-07</x:v>
      </x:c>
      <x:c r="B156" s="44" t="n">
        <x:v>494</x:v>
      </x:c>
      <x:c r="C156" s="44" t="n">
        <x:v>809.8</x:v>
      </x:c>
      <x:c r="D156" t="n">
        <x:v>31</x:v>
      </x:c>
      <x:c r="E156" t="n">
        <x:v>31</x:v>
      </x:c>
      <x:c r="F156" s="46" t="n">
        <x:v>100</x:v>
      </x:c>
      <x:c r="G156" s="46" t="n">
        <x:v>100</x:v>
      </x:c>
      <x:c r="H156" s="46" t="n">
        <x:f>B156-C156</x:f>
        <x:v>-315.79999999999995</x:v>
      </x:c>
      <x:c r="I156" s="46" t="n">
        <x:f>LN((B156+1)/(C156+1))</x:f>
        <x:v>-0.4934636520091546</x:v>
      </x:c>
      <x:c r="J156" t="str">
        <x:f>IF(A156&lt;"1997-06","Antes","Después")</x:f>
        <x:v>Después</x:v>
      </x:c>
      <x:c r="K156" t="str">
        <x:v>51025090</x:v>
      </x:c>
    </x:row>
    <x:row r="157">
      <x:c r="A157" t="str">
        <x:v>1998-08</x:v>
      </x:c>
      <x:c r="B157" s="44" t="n">
        <x:v>152</x:v>
      </x:c>
      <x:c r="C157" s="44" t="n">
        <x:v>179.7</x:v>
      </x:c>
      <x:c r="D157" t="n">
        <x:v>31</x:v>
      </x:c>
      <x:c r="E157" t="n">
        <x:v>31</x:v>
      </x:c>
      <x:c r="F157" s="46" t="n">
        <x:v>100</x:v>
      </x:c>
      <x:c r="G157" s="46" t="n">
        <x:v>100</x:v>
      </x:c>
      <x:c r="H157" s="46" t="n">
        <x:f>B157-C157</x:f>
        <x:v>-27.69999999999999</x:v>
      </x:c>
      <x:c r="I157" s="46" t="n">
        <x:f>LN((B157+1)/(C157+1))</x:f>
        <x:v>-0.1664002762057473</x:v>
      </x:c>
      <x:c r="J157" t="str">
        <x:f>IF(A157&lt;"1997-06","Antes","Después")</x:f>
        <x:v>Después</x:v>
      </x:c>
      <x:c r="K157" t="str">
        <x:v>51025090</x:v>
      </x:c>
    </x:row>
    <x:row r="158">
      <x:c r="A158" t="str">
        <x:v>1998-09</x:v>
      </x:c>
      <x:c r="B158" s="44" t="n">
        <x:v>229</x:v>
      </x:c>
      <x:c r="C158" s="44" t="n">
        <x:v>181.6</x:v>
      </x:c>
      <x:c r="D158" t="n">
        <x:v>30</x:v>
      </x:c>
      <x:c r="E158" t="n">
        <x:v>30</x:v>
      </x:c>
      <x:c r="F158" s="46" t="n">
        <x:v>100</x:v>
      </x:c>
      <x:c r="G158" s="46" t="n">
        <x:v>100</x:v>
      </x:c>
      <x:c r="H158" s="46" t="n">
        <x:f>B158-C158</x:f>
        <x:v>47.400000000000006</x:v>
      </x:c>
      <x:c r="I158" s="46" t="n">
        <x:f>LN((B158+1)/(C158+1))</x:f>
        <x:v>0.23078134076232729</x:v>
      </x:c>
      <x:c r="J158" t="str">
        <x:f>IF(A158&lt;"1997-06","Antes","Después")</x:f>
        <x:v>Después</x:v>
      </x:c>
      <x:c r="K158" t="str">
        <x:v>51025090</x:v>
      </x:c>
    </x:row>
    <x:row r="159">
      <x:c r="A159" t="str">
        <x:v>1998-10</x:v>
      </x:c>
      <x:c r="B159" s="44" t="n">
        <x:v>37</x:v>
      </x:c>
      <x:c r="C159" s="44" t="n">
        <x:v>53.6</x:v>
      </x:c>
      <x:c r="D159" t="n">
        <x:v>31</x:v>
      </x:c>
      <x:c r="E159" t="n">
        <x:v>30</x:v>
      </x:c>
      <x:c r="F159" s="46" t="n">
        <x:v>100</x:v>
      </x:c>
      <x:c r="G159" s="46" t="n">
        <x:v>96.77</x:v>
      </x:c>
      <x:c r="H159" s="46" t="n">
        <x:f>B159-C159</x:f>
        <x:v>-16.6</x:v>
      </x:c>
      <x:c r="I159" s="46" t="n">
        <x:f>LN((B159+1)/(C159+1))</x:f>
        <x:v>-0.36244772302447364</x:v>
      </x:c>
      <x:c r="J159" t="str">
        <x:f>IF(A159&lt;"1997-06","Antes","Después")</x:f>
        <x:v>Después</x:v>
      </x:c>
      <x:c r="K159" t="str">
        <x:v>51025090</x:v>
      </x:c>
    </x:row>
    <x:row r="160">
      <x:c r="A160" t="str">
        <x:v>1998-11</x:v>
      </x:c>
      <x:c r="B160" s="44" t="n">
        <x:v>38</x:v>
      </x:c>
      <x:c r="C160" s="44" t="n">
        <x:v>75.3</x:v>
      </x:c>
      <x:c r="D160" t="n">
        <x:v>30</x:v>
      </x:c>
      <x:c r="E160" t="n">
        <x:v>30</x:v>
      </x:c>
      <x:c r="F160" s="46" t="n">
        <x:v>100</x:v>
      </x:c>
      <x:c r="G160" s="46" t="n">
        <x:v>100</x:v>
      </x:c>
      <x:c r="H160" s="46" t="n">
        <x:f>B160-C160</x:f>
        <x:v>-37.3</x:v>
      </x:c>
      <x:c r="I160" s="46" t="n">
        <x:f>LN((B160+1)/(C160+1))</x:f>
        <x:v>-0.6711112921607649</x:v>
      </x:c>
      <x:c r="J160" t="str">
        <x:f>IF(A160&lt;"1997-06","Antes","Después")</x:f>
        <x:v>Después</x:v>
      </x:c>
      <x:c r="K160" t="str">
        <x:v>51025090</x:v>
      </x:c>
    </x:row>
    <x:row r="161">
      <x:c r="A161" t="str">
        <x:v>1999-01</x:v>
      </x:c>
      <x:c r="B161" s="44" t="n">
        <x:v>250</x:v>
      </x:c>
      <x:c r="C161" s="44" t="n">
        <x:v>278.2</x:v>
      </x:c>
      <x:c r="D161" t="n">
        <x:v>31</x:v>
      </x:c>
      <x:c r="E161" t="n">
        <x:v>30</x:v>
      </x:c>
      <x:c r="F161" s="46" t="n">
        <x:v>100</x:v>
      </x:c>
      <x:c r="G161" s="46" t="n">
        <x:v>96.77</x:v>
      </x:c>
      <x:c r="H161" s="46" t="n">
        <x:f>B161-C161</x:f>
        <x:v>-28.19999999999999</x:v>
      </x:c>
      <x:c r="I161" s="46" t="n">
        <x:f>LN((B161+1)/(C161+1))</x:f>
        <x:v>-0.10647543175643348</x:v>
      </x:c>
      <x:c r="J161" t="str">
        <x:f>IF(A161&lt;"1997-06","Antes","Después")</x:f>
        <x:v>Después</x:v>
      </x:c>
      <x:c r="K161" t="str">
        <x:v>51025090</x:v>
      </x:c>
    </x:row>
    <x:row r="162">
      <x:c r="A162" t="str">
        <x:v>1999-02</x:v>
      </x:c>
      <x:c r="B162" s="44" t="n">
        <x:v>390</x:v>
      </x:c>
      <x:c r="C162" s="44" t="n">
        <x:v>443.3</x:v>
      </x:c>
      <x:c r="D162" t="n">
        <x:v>28</x:v>
      </x:c>
      <x:c r="E162" t="n">
        <x:v>28</x:v>
      </x:c>
      <x:c r="F162" s="46" t="n">
        <x:v>100</x:v>
      </x:c>
      <x:c r="G162" s="46" t="n">
        <x:v>100</x:v>
      </x:c>
      <x:c r="H162" s="46" t="n">
        <x:f>B162-C162</x:f>
        <x:v>-53.30000000000001</x:v>
      </x:c>
      <x:c r="I162" s="46" t="n">
        <x:f>LN((B162+1)/(C162+1))</x:f>
        <x:v>-0.12779244995649702</x:v>
      </x:c>
      <x:c r="J162" t="str">
        <x:f>IF(A162&lt;"1997-06","Antes","Después")</x:f>
        <x:v>Después</x:v>
      </x:c>
      <x:c r="K162" t="str">
        <x:v>51025090</x:v>
      </x:c>
    </x:row>
    <x:row r="163">
      <x:c r="A163" t="str">
        <x:v>1999-03</x:v>
      </x:c>
      <x:c r="B163" s="44" t="n">
        <x:v>151</x:v>
      </x:c>
      <x:c r="C163" s="44" t="n">
        <x:v>262.1</x:v>
      </x:c>
      <x:c r="D163" t="n">
        <x:v>31</x:v>
      </x:c>
      <x:c r="E163" t="n">
        <x:v>31</x:v>
      </x:c>
      <x:c r="F163" s="46" t="n">
        <x:v>100</x:v>
      </x:c>
      <x:c r="G163" s="46" t="n">
        <x:v>100</x:v>
      </x:c>
      <x:c r="H163" s="46" t="n">
        <x:f>B163-C163</x:f>
        <x:v>-111.10000000000002</x:v>
      </x:c>
      <x:c r="I163" s="46" t="n">
        <x:f>LN((B163+1)/(C163+1))</x:f>
        <x:v>-0.5486536671999708</x:v>
      </x:c>
      <x:c r="J163" t="str">
        <x:f>IF(A163&lt;"1997-06","Antes","Después")</x:f>
        <x:v>Después</x:v>
      </x:c>
      <x:c r="K163" t="str">
        <x:v>51025090</x:v>
      </x:c>
    </x:row>
    <x:row r="164">
      <x:c r="A164" t="str">
        <x:v>1999-04</x:v>
      </x:c>
      <x:c r="B164" s="44" t="n">
        <x:v>735</x:v>
      </x:c>
      <x:c r="C164" s="44" t="n">
        <x:v>715.1</x:v>
      </x:c>
      <x:c r="D164" t="n">
        <x:v>30</x:v>
      </x:c>
      <x:c r="E164" t="n">
        <x:v>30</x:v>
      </x:c>
      <x:c r="F164" s="46" t="n">
        <x:v>100</x:v>
      </x:c>
      <x:c r="G164" s="46" t="n">
        <x:v>100</x:v>
      </x:c>
      <x:c r="H164" s="46" t="n">
        <x:f>B164-C164</x:f>
        <x:v>19.899999999999977</x:v>
      </x:c>
      <x:c r="I164" s="46" t="n">
        <x:f>LN((B164+1)/(C164+1))</x:f>
        <x:v>0.02741029671598208</x:v>
      </x:c>
      <x:c r="J164" t="str">
        <x:f>IF(A164&lt;"1997-06","Antes","Después")</x:f>
        <x:v>Después</x:v>
      </x:c>
      <x:c r="K164" t="str">
        <x:v>51025090</x:v>
      </x:c>
    </x:row>
    <x:row r="165">
      <x:c r="A165" t="str">
        <x:v>1999-05</x:v>
      </x:c>
      <x:c r="B165" s="44" t="n">
        <x:v>453</x:v>
      </x:c>
      <x:c r="C165" s="44" t="n">
        <x:v>745.2</x:v>
      </x:c>
      <x:c r="D165" t="n">
        <x:v>31</x:v>
      </x:c>
      <x:c r="E165" t="n">
        <x:v>31</x:v>
      </x:c>
      <x:c r="F165" s="46" t="n">
        <x:v>100</x:v>
      </x:c>
      <x:c r="G165" s="46" t="n">
        <x:v>100</x:v>
      </x:c>
      <x:c r="H165" s="46" t="n">
        <x:f>B165-C165</x:f>
        <x:v>-292.20000000000005</x:v>
      </x:c>
      <x:c r="I165" s="46" t="n">
        <x:f>LN((B165+1)/(C165+1))</x:f>
        <x:v>-0.49689646274570953</x:v>
      </x:c>
      <x:c r="J165" t="str">
        <x:f>IF(A165&lt;"1997-06","Antes","Después")</x:f>
        <x:v>Después</x:v>
      </x:c>
      <x:c r="K165" t="str">
        <x:v>51025090</x:v>
      </x:c>
    </x:row>
    <x:row r="166">
      <x:c r="A166" t="str">
        <x:v>1999-06</x:v>
      </x:c>
      <x:c r="B166" s="44" t="n">
        <x:v>517</x:v>
      </x:c>
      <x:c r="C166" s="44" t="n">
        <x:v>426.3</x:v>
      </x:c>
      <x:c r="D166" t="n">
        <x:v>30</x:v>
      </x:c>
      <x:c r="E166" t="n">
        <x:v>30</x:v>
      </x:c>
      <x:c r="F166" s="46" t="n">
        <x:v>100</x:v>
      </x:c>
      <x:c r="G166" s="46" t="n">
        <x:v>100</x:v>
      </x:c>
      <x:c r="H166" s="46" t="n">
        <x:f>B166-C166</x:f>
        <x:v>90.69999999999999</x:v>
      </x:c>
      <x:c r="I166" s="46" t="n">
        <x:f>LN((B166+1)/(C166+1))</x:f>
        <x:v>0.19248889960950372</x:v>
      </x:c>
      <x:c r="J166" t="str">
        <x:f>IF(A166&lt;"1997-06","Antes","Después")</x:f>
        <x:v>Después</x:v>
      </x:c>
      <x:c r="K166" t="str">
        <x:v>51025090</x:v>
      </x:c>
    </x:row>
    <x:row r="167">
      <x:c r="A167" t="str">
        <x:v>1999-07</x:v>
      </x:c>
      <x:c r="B167" s="44" t="n">
        <x:v>103</x:v>
      </x:c>
      <x:c r="C167" s="44" t="n">
        <x:v>130.8</x:v>
      </x:c>
      <x:c r="D167" t="n">
        <x:v>31</x:v>
      </x:c>
      <x:c r="E167" t="n">
        <x:v>31</x:v>
      </x:c>
      <x:c r="F167" s="46" t="n">
        <x:v>100</x:v>
      </x:c>
      <x:c r="G167" s="46" t="n">
        <x:v>100</x:v>
      </x:c>
      <x:c r="H167" s="46" t="n">
        <x:f>B167-C167</x:f>
        <x:v>-27.80000000000001</x:v>
      </x:c>
      <x:c r="I167" s="46" t="n">
        <x:f>LN((B167+1)/(C167+1))</x:f>
        <x:v>-0.2368947229270343</x:v>
      </x:c>
      <x:c r="J167" t="str">
        <x:f>IF(A167&lt;"1997-06","Antes","Después")</x:f>
        <x:v>Después</x:v>
      </x:c>
      <x:c r="K167" t="str">
        <x:v>51025090</x:v>
      </x:c>
    </x:row>
    <x:row r="168">
      <x:c r="A168" t="str">
        <x:v>1999-08</x:v>
      </x:c>
      <x:c r="B168" s="44" t="n">
        <x:v>26</x:v>
      </x:c>
      <x:c r="C168" s="44" t="n">
        <x:v>46.5</x:v>
      </x:c>
      <x:c r="D168" t="n">
        <x:v>31</x:v>
      </x:c>
      <x:c r="E168" t="n">
        <x:v>31</x:v>
      </x:c>
      <x:c r="F168" s="46" t="n">
        <x:v>100</x:v>
      </x:c>
      <x:c r="G168" s="46" t="n">
        <x:v>100</x:v>
      </x:c>
      <x:c r="H168" s="46" t="n">
        <x:f>B168-C168</x:f>
        <x:v>-20.5</x:v>
      </x:c>
      <x:c r="I168" s="46" t="n">
        <x:f>LN((B168+1)/(C168+1))</x:f>
        <x:v>-0.5648928450362665</x:v>
      </x:c>
      <x:c r="J168" t="str">
        <x:f>IF(A168&lt;"1997-06","Antes","Después")</x:f>
        <x:v>Después</x:v>
      </x:c>
      <x:c r="K168" t="str">
        <x:v>51025090</x:v>
      </x:c>
    </x:row>
    <x:row r="169">
      <x:c r="A169" t="str">
        <x:v>1999-09</x:v>
      </x:c>
      <x:c r="B169" s="44" t="n">
        <x:v>224</x:v>
      </x:c>
      <x:c r="C169" s="44" t="n">
        <x:v>257.1</x:v>
      </x:c>
      <x:c r="D169" t="n">
        <x:v>30</x:v>
      </x:c>
      <x:c r="E169" t="n">
        <x:v>30</x:v>
      </x:c>
      <x:c r="F169" s="46" t="n">
        <x:v>100</x:v>
      </x:c>
      <x:c r="G169" s="46" t="n">
        <x:v>100</x:v>
      </x:c>
      <x:c r="H169" s="46" t="n">
        <x:f>B169-C169</x:f>
        <x:v>-33.10000000000002</x:v>
      </x:c>
      <x:c r="I169" s="46" t="n">
        <x:f>LN((B169+1)/(C169+1))</x:f>
        <x:v>-0.13724670452014817</x:v>
      </x:c>
      <x:c r="J169" t="str">
        <x:f>IF(A169&lt;"1997-06","Antes","Después")</x:f>
        <x:v>Después</x:v>
      </x:c>
      <x:c r="K169" t="str">
        <x:v>51025090</x:v>
      </x:c>
    </x:row>
    <x:row r="170">
      <x:c r="A170" t="str">
        <x:v>1999-10</x:v>
      </x:c>
      <x:c r="B170" s="44" t="n">
        <x:v>282</x:v>
      </x:c>
      <x:c r="C170" s="44" t="n">
        <x:v>223.4</x:v>
      </x:c>
      <x:c r="D170" t="n">
        <x:v>31</x:v>
      </x:c>
      <x:c r="E170" t="n">
        <x:v>31</x:v>
      </x:c>
      <x:c r="F170" s="46" t="n">
        <x:v>100</x:v>
      </x:c>
      <x:c r="G170" s="46" t="n">
        <x:v>100</x:v>
      </x:c>
      <x:c r="H170" s="46" t="n">
        <x:f>B170-C170</x:f>
        <x:v>58.599999999999994</x:v>
      </x:c>
      <x:c r="I170" s="46" t="n">
        <x:f>LN((B170+1)/(C170+1))</x:f>
        <x:v>0.23201672399469625</x:v>
      </x:c>
      <x:c r="J170" t="str">
        <x:f>IF(A170&lt;"1997-06","Antes","Después")</x:f>
        <x:v>Después</x:v>
      </x:c>
      <x:c r="K170" t="str">
        <x:v>51025090</x:v>
      </x:c>
    </x:row>
    <x:row r="171">
      <x:c r="A171" t="str">
        <x:v>1999-11</x:v>
      </x:c>
      <x:c r="B171" s="44" t="n">
        <x:v>190</x:v>
      </x:c>
      <x:c r="C171" s="44" t="n">
        <x:v>151.5</x:v>
      </x:c>
      <x:c r="D171" t="n">
        <x:v>30</x:v>
      </x:c>
      <x:c r="E171" t="n">
        <x:v>30</x:v>
      </x:c>
      <x:c r="F171" s="46" t="n">
        <x:v>100</x:v>
      </x:c>
      <x:c r="G171" s="46" t="n">
        <x:v>100</x:v>
      </x:c>
      <x:c r="H171" s="46" t="n">
        <x:f>B171-C171</x:f>
        <x:v>38.5</x:v>
      </x:c>
      <x:c r="I171" s="46" t="n">
        <x:f>LN((B171+1)/(C171+1))</x:f>
        <x:v>0.22510883199916354</x:v>
      </x:c>
      <x:c r="J171" t="str">
        <x:f>IF(A171&lt;"1997-06","Antes","Después")</x:f>
        <x:v>Después</x:v>
      </x:c>
      <x:c r="K171" t="str">
        <x:v>51025090</x:v>
      </x:c>
    </x:row>
    <x:row r="172">
      <x:c r="A172" t="str">
        <x:v>1999-12</x:v>
      </x:c>
      <x:c r="B172" s="44" t="n">
        <x:v>173</x:v>
      </x:c>
      <x:c r="C172" s="44" t="n">
        <x:v>149.1</x:v>
      </x:c>
      <x:c r="D172" t="n">
        <x:v>31</x:v>
      </x:c>
      <x:c r="E172" t="n">
        <x:v>31</x:v>
      </x:c>
      <x:c r="F172" s="46" t="n">
        <x:v>100</x:v>
      </x:c>
      <x:c r="G172" s="46" t="n">
        <x:v>100</x:v>
      </x:c>
      <x:c r="H172" s="46" t="n">
        <x:f>B172-C172</x:f>
        <x:v>23.900000000000006</x:v>
      </x:c>
      <x:c r="I172" s="46" t="n">
        <x:f>LN((B172+1)/(C172+1))</x:f>
        <x:v>0.14775356057511285</x:v>
      </x:c>
      <x:c r="J172" t="str">
        <x:f>IF(A172&lt;"1997-06","Antes","Después")</x:f>
        <x:v>Después</x:v>
      </x:c>
      <x:c r="K172" t="str">
        <x:v>51025090</x:v>
      </x:c>
    </x:row>
    <x:row r="173">
      <x:c r="A173" t="str">
        <x:v>2000-01</x:v>
      </x:c>
      <x:c r="B173" s="44" t="n">
        <x:v>217</x:v>
      </x:c>
      <x:c r="C173" s="44" t="n">
        <x:v>274.7</x:v>
      </x:c>
      <x:c r="D173" t="n">
        <x:v>31</x:v>
      </x:c>
      <x:c r="E173" t="n">
        <x:v>31</x:v>
      </x:c>
      <x:c r="F173" s="46" t="n">
        <x:v>100</x:v>
      </x:c>
      <x:c r="G173" s="46" t="n">
        <x:v>100</x:v>
      </x:c>
      <x:c r="H173" s="46" t="n">
        <x:f>B173-C173</x:f>
        <x:v>-57.69999999999999</x:v>
      </x:c>
      <x:c r="I173" s="46" t="n">
        <x:f>LN((B173+1)/(C173+1))</x:f>
        <x:v>-0.23481825524066208</x:v>
      </x:c>
      <x:c r="J173" t="str">
        <x:f>IF(A173&lt;"1997-06","Antes","Después")</x:f>
        <x:v>Después</x:v>
      </x:c>
      <x:c r="K173" t="str">
        <x:v>51025090</x:v>
      </x:c>
    </x:row>
    <x:row r="174">
      <x:c r="A174" t="str">
        <x:v>2000-02</x:v>
      </x:c>
      <x:c r="B174" s="44" t="n">
        <x:v>254</x:v>
      </x:c>
      <x:c r="C174" s="44" t="n">
        <x:v>329.6</x:v>
      </x:c>
      <x:c r="D174" t="n">
        <x:v>29</x:v>
      </x:c>
      <x:c r="E174" t="n">
        <x:v>29</x:v>
      </x:c>
      <x:c r="F174" s="46" t="n">
        <x:v>100</x:v>
      </x:c>
      <x:c r="G174" s="46" t="n">
        <x:v>100</x:v>
      </x:c>
      <x:c r="H174" s="46" t="n">
        <x:f>B174-C174</x:f>
        <x:v>-75.60000000000002</x:v>
      </x:c>
      <x:c r="I174" s="46" t="n">
        <x:f>LN((B174+1)/(C174+1))</x:f>
        <x:v>-0.2596456402284978</x:v>
      </x:c>
      <x:c r="J174" t="str">
        <x:f>IF(A174&lt;"1997-06","Antes","Después")</x:f>
        <x:v>Después</x:v>
      </x:c>
      <x:c r="K174" t="str">
        <x:v>51025090</x:v>
      </x:c>
    </x:row>
    <x:row r="175">
      <x:c r="A175" t="str">
        <x:v>2000-03</x:v>
      </x:c>
      <x:c r="B175" s="44" t="n">
        <x:v>234.6</x:v>
      </x:c>
      <x:c r="C175" s="44" t="n">
        <x:v>384.7</x:v>
      </x:c>
      <x:c r="D175" t="n">
        <x:v>31</x:v>
      </x:c>
      <x:c r="E175" t="n">
        <x:v>31</x:v>
      </x:c>
      <x:c r="F175" s="46" t="n">
        <x:v>100</x:v>
      </x:c>
      <x:c r="G175" s="46" t="n">
        <x:v>100</x:v>
      </x:c>
      <x:c r="H175" s="46" t="n">
        <x:f>B175-C175</x:f>
        <x:v>-150.1</x:v>
      </x:c>
      <x:c r="I175" s="46" t="n">
        <x:f>LN((B175+1)/(C175+1))</x:f>
        <x:v>-0.4929244134367504</x:v>
      </x:c>
      <x:c r="J175" t="str">
        <x:f>IF(A175&lt;"1997-06","Antes","Después")</x:f>
        <x:v>Después</x:v>
      </x:c>
      <x:c r="K175" t="str">
        <x:v>51025090</x:v>
      </x:c>
    </x:row>
    <x:row r="176">
      <x:c r="A176" t="str">
        <x:v>2000-04</x:v>
      </x:c>
      <x:c r="B176" s="44" t="n">
        <x:v>404</x:v>
      </x:c>
      <x:c r="C176" s="44" t="n">
        <x:v>246.7</x:v>
      </x:c>
      <x:c r="D176" t="n">
        <x:v>30</x:v>
      </x:c>
      <x:c r="E176" t="n">
        <x:v>30</x:v>
      </x:c>
      <x:c r="F176" s="46" t="n">
        <x:v>100</x:v>
      </x:c>
      <x:c r="G176" s="46" t="n">
        <x:v>100</x:v>
      </x:c>
      <x:c r="H176" s="46" t="n">
        <x:f>B176-C176</x:f>
        <x:v>157.3</x:v>
      </x:c>
      <x:c r="I176" s="46" t="n">
        <x:f>LN((B176+1)/(C176+1))</x:f>
        <x:v>0.4916687306112254</x:v>
      </x:c>
      <x:c r="J176" t="str">
        <x:f>IF(A176&lt;"1997-06","Antes","Después")</x:f>
        <x:v>Después</x:v>
      </x:c>
      <x:c r="K176" t="str">
        <x:v>51025090</x:v>
      </x:c>
    </x:row>
    <x:row r="177">
      <x:c r="A177" t="str">
        <x:v>2000-05</x:v>
      </x:c>
      <x:c r="B177" s="44" t="n">
        <x:v>349</x:v>
      </x:c>
      <x:c r="C177" s="44" t="n">
        <x:v>387.7</x:v>
      </x:c>
      <x:c r="D177" t="n">
        <x:v>31</x:v>
      </x:c>
      <x:c r="E177" t="n">
        <x:v>31</x:v>
      </x:c>
      <x:c r="F177" s="46" t="n">
        <x:v>100</x:v>
      </x:c>
      <x:c r="G177" s="46" t="n">
        <x:v>100</x:v>
      </x:c>
      <x:c r="H177" s="46" t="n">
        <x:f>B177-C177</x:f>
        <x:v>-38.69999999999999</x:v>
      </x:c>
      <x:c r="I177" s="46" t="n">
        <x:f>LN((B177+1)/(C177+1))</x:f>
        <x:v>-0.10487468337471809</x:v>
      </x:c>
      <x:c r="J177" t="str">
        <x:f>IF(A177&lt;"1997-06","Antes","Después")</x:f>
        <x:v>Después</x:v>
      </x:c>
      <x:c r="K177" t="str">
        <x:v>51025090</x:v>
      </x:c>
    </x:row>
    <x:row r="178">
      <x:c r="A178" t="str">
        <x:v>2000-06</x:v>
      </x:c>
      <x:c r="B178" s="44" t="n">
        <x:v>259</x:v>
      </x:c>
      <x:c r="C178" s="44" t="n">
        <x:v>325.9</x:v>
      </x:c>
      <x:c r="D178" t="n">
        <x:v>30</x:v>
      </x:c>
      <x:c r="E178" t="n">
        <x:v>30</x:v>
      </x:c>
      <x:c r="F178" s="46" t="n">
        <x:v>100</x:v>
      </x:c>
      <x:c r="G178" s="46" t="n">
        <x:v>100</x:v>
      </x:c>
      <x:c r="H178" s="46" t="n">
        <x:f>B178-C178</x:f>
        <x:v>-66.89999999999998</x:v>
      </x:c>
      <x:c r="I178" s="46" t="n">
        <x:f>LN((B178+1)/(C178+1))</x:f>
        <x:v>-0.22897268271463714</x:v>
      </x:c>
      <x:c r="J178" t="str">
        <x:f>IF(A178&lt;"1997-06","Antes","Después")</x:f>
        <x:v>Después</x:v>
      </x:c>
      <x:c r="K178" t="str">
        <x:v>51025090</x:v>
      </x:c>
    </x:row>
    <x:row r="179">
      <x:c r="A179" t="str">
        <x:v>2000-07</x:v>
      </x:c>
      <x:c r="B179" s="44" t="n">
        <x:v>129</x:v>
      </x:c>
      <x:c r="C179" s="44" t="n">
        <x:v>111.5</x:v>
      </x:c>
      <x:c r="D179" t="n">
        <x:v>31</x:v>
      </x:c>
      <x:c r="E179" t="n">
        <x:v>31</x:v>
      </x:c>
      <x:c r="F179" s="46" t="n">
        <x:v>100</x:v>
      </x:c>
      <x:c r="G179" s="46" t="n">
        <x:v>100</x:v>
      </x:c>
      <x:c r="H179" s="46" t="n">
        <x:f>B179-C179</x:f>
        <x:v>17.5</x:v>
      </x:c>
      <x:c r="I179" s="46" t="n">
        <x:f>LN((B179+1)/(C179+1))</x:f>
        <x:v>0.1445812288111075</x:v>
      </x:c>
      <x:c r="J179" t="str">
        <x:f>IF(A179&lt;"1997-06","Antes","Después")</x:f>
        <x:v>Después</x:v>
      </x:c>
      <x:c r="K179" t="str">
        <x:v>51025090</x:v>
      </x:c>
    </x:row>
    <x:row r="180">
      <x:c r="A180" t="str">
        <x:v>2000-08</x:v>
      </x:c>
      <x:c r="B180" s="44" t="n">
        <x:v>72</x:v>
      </x:c>
      <x:c r="C180" s="44" t="n">
        <x:v>75.7</x:v>
      </x:c>
      <x:c r="D180" t="n">
        <x:v>31</x:v>
      </x:c>
      <x:c r="E180" t="n">
        <x:v>31</x:v>
      </x:c>
      <x:c r="F180" s="46" t="n">
        <x:v>100</x:v>
      </x:c>
      <x:c r="G180" s="46" t="n">
        <x:v>100</x:v>
      </x:c>
      <x:c r="H180" s="46" t="n">
        <x:f>B180-C180</x:f>
        <x:v>-3.700000000000003</x:v>
      </x:c>
      <x:c r="I180" s="46" t="n">
        <x:f>LN((B180+1)/(C180+1))</x:f>
        <x:v>-0.04944226722481941</x:v>
      </x:c>
      <x:c r="J180" t="str">
        <x:f>IF(A180&lt;"1997-06","Antes","Después")</x:f>
        <x:v>Después</x:v>
      </x:c>
      <x:c r="K180" t="str">
        <x:v>51025090</x:v>
      </x:c>
    </x:row>
    <x:row r="181">
      <x:c r="A181" t="str">
        <x:v>2000-09</x:v>
      </x:c>
      <x:c r="B181" s="44" t="n">
        <x:v>220</x:v>
      </x:c>
      <x:c r="C181" s="44" t="n">
        <x:v>258.1</x:v>
      </x:c>
      <x:c r="D181" t="n">
        <x:v>30</x:v>
      </x:c>
      <x:c r="E181" t="n">
        <x:v>30</x:v>
      </x:c>
      <x:c r="F181" s="46" t="n">
        <x:v>100</x:v>
      </x:c>
      <x:c r="G181" s="46" t="n">
        <x:v>100</x:v>
      </x:c>
      <x:c r="H181" s="46" t="n">
        <x:f>B181-C181</x:f>
        <x:v>-38.10000000000002</x:v>
      </x:c>
      <x:c r="I181" s="46" t="n">
        <x:f>LN((B181+1)/(C181+1))</x:f>
        <x:v>-0.15905138605031158</x:v>
      </x:c>
      <x:c r="J181" t="str">
        <x:f>IF(A181&lt;"1997-06","Antes","Después")</x:f>
        <x:v>Después</x:v>
      </x:c>
      <x:c r="K181" t="str">
        <x:v>51025090</x:v>
      </x:c>
    </x:row>
    <x:row r="182">
      <x:c r="A182" t="str">
        <x:v>2000-10</x:v>
      </x:c>
      <x:c r="B182" s="44" t="n">
        <x:v>195</x:v>
      </x:c>
      <x:c r="C182" s="44" t="n">
        <x:v>214.8</x:v>
      </x:c>
      <x:c r="D182" t="n">
        <x:v>31</x:v>
      </x:c>
      <x:c r="E182" t="n">
        <x:v>31</x:v>
      </x:c>
      <x:c r="F182" s="46" t="n">
        <x:v>100</x:v>
      </x:c>
      <x:c r="G182" s="46" t="n">
        <x:v>100</x:v>
      </x:c>
      <x:c r="H182" s="46" t="n">
        <x:f>B182-C182</x:f>
        <x:v>-19.80000000000001</x:v>
      </x:c>
      <x:c r="I182" s="46" t="n">
        <x:f>LN((B182+1)/(C182+1))</x:f>
        <x:v>-0.0962373935935171</x:v>
      </x:c>
      <x:c r="J182" t="str">
        <x:f>IF(A182&lt;"1997-06","Antes","Después")</x:f>
        <x:v>Después</x:v>
      </x:c>
      <x:c r="K182" t="str">
        <x:v>51025090</x:v>
      </x:c>
    </x:row>
    <x:row r="183">
      <x:c r="A183" t="str">
        <x:v>2000-11</x:v>
      </x:c>
      <x:c r="B183" s="44" t="n">
        <x:v>84</x:v>
      </x:c>
      <x:c r="C183" s="44" t="n">
        <x:v>48.2</x:v>
      </x:c>
      <x:c r="D183" t="n">
        <x:v>30</x:v>
      </x:c>
      <x:c r="E183" t="n">
        <x:v>30</x:v>
      </x:c>
      <x:c r="F183" s="46" t="n">
        <x:v>100</x:v>
      </x:c>
      <x:c r="G183" s="46" t="n">
        <x:v>100</x:v>
      </x:c>
      <x:c r="H183" s="46" t="n">
        <x:f>B183-C183</x:f>
        <x:v>35.8</x:v>
      </x:c>
      <x:c r="I183" s="46" t="n">
        <x:f>LN((B183+1)/(C183+1))</x:f>
        <x:v>0.5467576329920539</x:v>
      </x:c>
      <x:c r="J183" t="str">
        <x:f>IF(A183&lt;"1997-06","Antes","Después")</x:f>
        <x:v>Después</x:v>
      </x:c>
      <x:c r="K183" t="str">
        <x:v>51025090</x:v>
      </x:c>
    </x:row>
    <x:row r="184">
      <x:c r="A184" t="str">
        <x:v>2000-12</x:v>
      </x:c>
      <x:c r="B184" s="44" t="n">
        <x:v>340</x:v>
      </x:c>
      <x:c r="C184" s="44" t="n">
        <x:v>254.4</x:v>
      </x:c>
      <x:c r="D184" t="n">
        <x:v>31</x:v>
      </x:c>
      <x:c r="E184" t="n">
        <x:v>30</x:v>
      </x:c>
      <x:c r="F184" s="46" t="n">
        <x:v>100</x:v>
      </x:c>
      <x:c r="G184" s="46" t="n">
        <x:v>96.77</x:v>
      </x:c>
      <x:c r="H184" s="46" t="n">
        <x:f>B184-C184</x:f>
        <x:v>85.6</x:v>
      </x:c>
      <x:c r="I184" s="46" t="n">
        <x:f>LN((B184+1)/(C184+1))</x:f>
        <x:v>0.28905153368507785</x:v>
      </x:c>
      <x:c r="J184" t="str">
        <x:f>IF(A184&lt;"1997-06","Antes","Después")</x:f>
        <x:v>Después</x:v>
      </x:c>
      <x:c r="K184" t="str">
        <x:v>51025090</x:v>
      </x:c>
    </x:row>
    <x:row r="185">
      <x:c r="A185" t="str">
        <x:v>2001-01</x:v>
      </x:c>
      <x:c r="B185" s="44" t="n">
        <x:v>140</x:v>
      </x:c>
      <x:c r="C185" s="44" t="n">
        <x:v>184.9</x:v>
      </x:c>
      <x:c r="D185" t="n">
        <x:v>31</x:v>
      </x:c>
      <x:c r="E185" t="n">
        <x:v>31</x:v>
      </x:c>
      <x:c r="F185" s="46" t="n">
        <x:v>100</x:v>
      </x:c>
      <x:c r="G185" s="46" t="n">
        <x:v>100</x:v>
      </x:c>
      <x:c r="H185" s="46" t="n">
        <x:f>B185-C185</x:f>
        <x:v>-44.900000000000006</x:v>
      </x:c>
      <x:c r="I185" s="46" t="n">
        <x:f>LN((B185+1)/(C185+1))</x:f>
        <x:v>-0.27644900434923014</x:v>
      </x:c>
      <x:c r="J185" t="str">
        <x:f>IF(A185&lt;"1997-06","Antes","Después")</x:f>
        <x:v>Después</x:v>
      </x:c>
      <x:c r="K185" t="str">
        <x:v>51025090</x:v>
      </x:c>
    </x:row>
    <x:row r="186">
      <x:c r="A186" t="str">
        <x:v>2001-02</x:v>
      </x:c>
      <x:c r="B186" s="44" t="n">
        <x:v>20</x:v>
      </x:c>
      <x:c r="C186" s="44" t="n">
        <x:v>213</x:v>
      </x:c>
      <x:c r="D186" t="n">
        <x:v>28</x:v>
      </x:c>
      <x:c r="E186" t="n">
        <x:v>28</x:v>
      </x:c>
      <x:c r="F186" s="46" t="n">
        <x:v>100</x:v>
      </x:c>
      <x:c r="G186" s="46" t="n">
        <x:v>100</x:v>
      </x:c>
      <x:c r="H186" s="46" t="n">
        <x:f>B186-C186</x:f>
        <x:v>-193</x:v>
      </x:c>
      <x:c r="I186" s="46" t="n">
        <x:f>LN((B186+1)/(C186+1))</x:f>
        <x:v>-2.3214535772984286</x:v>
      </x:c>
      <x:c r="J186" t="str">
        <x:f>IF(A186&lt;"1997-06","Antes","Después")</x:f>
        <x:v>Después</x:v>
      </x:c>
      <x:c r="K186" t="str">
        <x:v>51025090</x:v>
      </x:c>
    </x:row>
    <x:row r="187">
      <x:c r="A187" t="str">
        <x:v>2001-03</x:v>
      </x:c>
      <x:c r="B187" s="44" t="n">
        <x:v>108</x:v>
      </x:c>
      <x:c r="C187" s="44" t="n">
        <x:v>173.5</x:v>
      </x:c>
      <x:c r="D187" t="n">
        <x:v>31</x:v>
      </x:c>
      <x:c r="E187" t="n">
        <x:v>31</x:v>
      </x:c>
      <x:c r="F187" s="46" t="n">
        <x:v>100</x:v>
      </x:c>
      <x:c r="G187" s="46" t="n">
        <x:v>100</x:v>
      </x:c>
      <x:c r="H187" s="46" t="n">
        <x:f>B187-C187</x:f>
        <x:v>-65.5</x:v>
      </x:c>
      <x:c r="I187" s="46" t="n">
        <x:f>LN((B187+1)/(C187+1))</x:f>
        <x:v>-0.4705768594133382</x:v>
      </x:c>
      <x:c r="J187" t="str">
        <x:f>IF(A187&lt;"1997-06","Antes","Después")</x:f>
        <x:v>Después</x:v>
      </x:c>
      <x:c r="K187" t="str">
        <x:v>51025090</x:v>
      </x:c>
    </x:row>
    <x:row r="188">
      <x:c r="A188" t="str">
        <x:v>2001-04</x:v>
      </x:c>
      <x:c r="B188" s="44" t="n">
        <x:v>511</x:v>
      </x:c>
      <x:c r="C188" s="44" t="n">
        <x:v>272.1</x:v>
      </x:c>
      <x:c r="D188" t="n">
        <x:v>30</x:v>
      </x:c>
      <x:c r="E188" t="n">
        <x:v>30</x:v>
      </x:c>
      <x:c r="F188" s="46" t="n">
        <x:v>100</x:v>
      </x:c>
      <x:c r="G188" s="46" t="n">
        <x:v>100</x:v>
      </x:c>
      <x:c r="H188" s="46" t="n">
        <x:f>B188-C188</x:f>
        <x:v>238.89999999999998</x:v>
      </x:c>
      <x:c r="I188" s="46" t="n">
        <x:f>LN((B188+1)/(C188+1))</x:f>
        <x:v>0.6284865965598484</x:v>
      </x:c>
      <x:c r="J188" t="str">
        <x:f>IF(A188&lt;"1997-06","Antes","Después")</x:f>
        <x:v>Después</x:v>
      </x:c>
      <x:c r="K188" t="str">
        <x:v>51025090</x:v>
      </x:c>
    </x:row>
    <x:row r="189">
      <x:c r="A189" t="str">
        <x:v>2001-05</x:v>
      </x:c>
      <x:c r="B189" s="44" t="n">
        <x:v>1293</x:v>
      </x:c>
      <x:c r="C189" s="44" t="n">
        <x:v>388.6</x:v>
      </x:c>
      <x:c r="D189" t="n">
        <x:v>31</x:v>
      </x:c>
      <x:c r="E189" t="n">
        <x:v>31</x:v>
      </x:c>
      <x:c r="F189" s="46" t="n">
        <x:v>100</x:v>
      </x:c>
      <x:c r="G189" s="46" t="n">
        <x:v>100</x:v>
      </x:c>
      <x:c r="H189" s="46" t="n">
        <x:f>B189-C189</x:f>
        <x:v>904.4</x:v>
      </x:c>
      <x:c r="I189" s="46" t="n">
        <x:f>LN((B189+1)/(C189+1))</x:f>
        <x:v>1.2003729032924657</x:v>
      </x:c>
      <x:c r="J189" t="str">
        <x:f>IF(A189&lt;"1997-06","Antes","Después")</x:f>
        <x:v>Después</x:v>
      </x:c>
      <x:c r="K189" t="str">
        <x:v>51025090</x:v>
      </x:c>
    </x:row>
    <x:row r="190">
      <x:c r="A190" t="str">
        <x:v>2001-06</x:v>
      </x:c>
      <x:c r="B190" s="44" t="n">
        <x:v>294</x:v>
      </x:c>
      <x:c r="C190" s="44" t="n">
        <x:v>122</x:v>
      </x:c>
      <x:c r="D190" t="n">
        <x:v>30</x:v>
      </x:c>
      <x:c r="E190" t="n">
        <x:v>29</x:v>
      </x:c>
      <x:c r="F190" s="46" t="n">
        <x:v>100</x:v>
      </x:c>
      <x:c r="G190" s="46" t="n">
        <x:v>96.67</x:v>
      </x:c>
      <x:c r="H190" s="46" t="n">
        <x:f>B190-C190</x:f>
        <x:v>172</x:v>
      </x:c>
      <x:c r="I190" s="46" t="n">
        <x:f>LN((B190+1)/(C190+1))</x:f>
        <x:v>0.8747910009674024</x:v>
      </x:c>
      <x:c r="J190" t="str">
        <x:f>IF(A190&lt;"1997-06","Antes","Después")</x:f>
        <x:v>Después</x:v>
      </x:c>
      <x:c r="K190" t="str">
        <x:v>51025090</x:v>
      </x:c>
    </x:row>
    <x:row r="191">
      <x:c r="A191" t="str">
        <x:v>2001-07</x:v>
      </x:c>
      <x:c r="B191" s="44" t="n">
        <x:v>215</x:v>
      </x:c>
      <x:c r="C191" s="44" t="n">
        <x:v>133.5</x:v>
      </x:c>
      <x:c r="D191" t="n">
        <x:v>31</x:v>
      </x:c>
      <x:c r="E191" t="n">
        <x:v>31</x:v>
      </x:c>
      <x:c r="F191" s="46" t="n">
        <x:v>100</x:v>
      </x:c>
      <x:c r="G191" s="46" t="n">
        <x:v>100</x:v>
      </x:c>
      <x:c r="H191" s="46" t="n">
        <x:f>B191-C191</x:f>
        <x:v>81.5</x:v>
      </x:c>
      <x:c r="I191" s="46" t="n">
        <x:f>LN((B191+1)/(C191+1))</x:f>
        <x:v>0.47371420864227126</x:v>
      </x:c>
      <x:c r="J191" t="str">
        <x:f>IF(A191&lt;"1997-06","Antes","Después")</x:f>
        <x:v>Después</x:v>
      </x:c>
      <x:c r="K191" t="str">
        <x:v>51025090</x:v>
      </x:c>
    </x:row>
    <x:row r="192">
      <x:c r="A192" t="str">
        <x:v>2001-08</x:v>
      </x:c>
      <x:c r="B192" s="44" t="n">
        <x:v>7</x:v>
      </x:c>
      <x:c r="C192" s="44" t="n">
        <x:v>13</x:v>
      </x:c>
      <x:c r="D192" t="n">
        <x:v>31</x:v>
      </x:c>
      <x:c r="E192" t="n">
        <x:v>31</x:v>
      </x:c>
      <x:c r="F192" s="46" t="n">
        <x:v>100</x:v>
      </x:c>
      <x:c r="G192" s="46" t="n">
        <x:v>100</x:v>
      </x:c>
      <x:c r="H192" s="46" t="n">
        <x:f>B192-C192</x:f>
        <x:v>-6</x:v>
      </x:c>
      <x:c r="I192" s="46" t="n">
        <x:f>LN((B192+1)/(C192+1))</x:f>
        <x:v>-0.5596157879354228</x:v>
      </x:c>
      <x:c r="J192" t="str">
        <x:f>IF(A192&lt;"1997-06","Antes","Después")</x:f>
        <x:v>Después</x:v>
      </x:c>
      <x:c r="K192" t="str">
        <x:v>51025090</x:v>
      </x:c>
    </x:row>
    <x:row r="193">
      <x:c r="A193" t="str">
        <x:v>2001-09</x:v>
      </x:c>
      <x:c r="B193" s="44" t="n">
        <x:v>110</x:v>
      </x:c>
      <x:c r="C193" s="44" t="n">
        <x:v>117.6</x:v>
      </x:c>
      <x:c r="D193" t="n">
        <x:v>30</x:v>
      </x:c>
      <x:c r="E193" t="n">
        <x:v>30</x:v>
      </x:c>
      <x:c r="F193" s="46" t="n">
        <x:v>100</x:v>
      </x:c>
      <x:c r="G193" s="46" t="n">
        <x:v>100</x:v>
      </x:c>
      <x:c r="H193" s="46" t="n">
        <x:f>B193-C193</x:f>
        <x:v>-7.599999999999994</x:v>
      </x:c>
      <x:c r="I193" s="46" t="n">
        <x:f>LN((B193+1)/(C193+1))</x:f>
        <x:v>-0.06622628525129093</x:v>
      </x:c>
      <x:c r="J193" t="str">
        <x:f>IF(A193&lt;"1997-06","Antes","Después")</x:f>
        <x:v>Después</x:v>
      </x:c>
      <x:c r="K193" t="str">
        <x:v>51025090</x:v>
      </x:c>
    </x:row>
    <x:row r="194">
      <x:c r="A194" t="str">
        <x:v>2001-10</x:v>
      </x:c>
      <x:c r="B194" s="44" t="n">
        <x:v>39</x:v>
      </x:c>
      <x:c r="C194" s="44" t="n">
        <x:v>23.5</x:v>
      </x:c>
      <x:c r="D194" t="n">
        <x:v>31</x:v>
      </x:c>
      <x:c r="E194" t="n">
        <x:v>31</x:v>
      </x:c>
      <x:c r="F194" s="46" t="n">
        <x:v>100</x:v>
      </x:c>
      <x:c r="G194" s="46" t="n">
        <x:v>100</x:v>
      </x:c>
      <x:c r="H194" s="46" t="n">
        <x:f>B194-C194</x:f>
        <x:v>15.5</x:v>
      </x:c>
      <x:c r="I194" s="46" t="n">
        <x:f>LN((B194+1)/(C194+1))</x:f>
        <x:v>0.490206336563255</x:v>
      </x:c>
      <x:c r="J194" t="str">
        <x:f>IF(A194&lt;"1997-06","Antes","Después")</x:f>
        <x:v>Después</x:v>
      </x:c>
      <x:c r="K194" t="str">
        <x:v>51025090</x:v>
      </x:c>
    </x:row>
    <x:row r="195">
      <x:c r="A195" t="str">
        <x:v>2001-11</x:v>
      </x:c>
      <x:c r="B195" s="44" t="n">
        <x:v>81</x:v>
      </x:c>
      <x:c r="C195" s="44" t="n">
        <x:v>53.9</x:v>
      </x:c>
      <x:c r="D195" t="n">
        <x:v>30</x:v>
      </x:c>
      <x:c r="E195" t="n">
        <x:v>30</x:v>
      </x:c>
      <x:c r="F195" s="46" t="n">
        <x:v>100</x:v>
      </x:c>
      <x:c r="G195" s="46" t="n">
        <x:v>100</x:v>
      </x:c>
      <x:c r="H195" s="46" t="n">
        <x:f>B195-C195</x:f>
        <x:v>27.1</x:v>
      </x:c>
      <x:c r="I195" s="46" t="n">
        <x:f>LN((B195+1)/(C195+1))</x:f>
        <x:v>0.40120589874876816</x:v>
      </x:c>
      <x:c r="J195" t="str">
        <x:f>IF(A195&lt;"1997-06","Antes","Después")</x:f>
        <x:v>Después</x:v>
      </x:c>
      <x:c r="K195" t="str">
        <x:v>51025090</x:v>
      </x:c>
    </x:row>
    <x:row r="196">
      <x:c r="A196" t="str">
        <x:v>2001-12</x:v>
      </x:c>
      <x:c r="B196" s="44" t="n">
        <x:v>361</x:v>
      </x:c>
      <x:c r="C196" s="44" t="n">
        <x:v>187.8</x:v>
      </x:c>
      <x:c r="D196" t="n">
        <x:v>31</x:v>
      </x:c>
      <x:c r="E196" t="n">
        <x:v>30</x:v>
      </x:c>
      <x:c r="F196" s="46" t="n">
        <x:v>100</x:v>
      </x:c>
      <x:c r="G196" s="46" t="n">
        <x:v>96.77</x:v>
      </x:c>
      <x:c r="H196" s="46" t="n">
        <x:f>B196-C196</x:f>
        <x:v>173.2</x:v>
      </x:c>
      <x:c r="I196" s="46" t="n">
        <x:f>LN((B196+1)/(C196+1))</x:f>
        <x:v>0.6509559581143707</x:v>
      </x:c>
      <x:c r="J196" t="str">
        <x:f>IF(A196&lt;"1997-06","Antes","Después")</x:f>
        <x:v>Después</x:v>
      </x:c>
      <x:c r="K196" t="str">
        <x:v>51025090</x:v>
      </x:c>
    </x:row>
    <x:row r="197">
      <x:c r="A197" t="str">
        <x:v>2002-01</x:v>
      </x:c>
      <x:c r="B197" s="44" t="n">
        <x:v>259</x:v>
      </x:c>
      <x:c r="C197" s="44" t="n">
        <x:v>350.7</x:v>
      </x:c>
      <x:c r="D197" t="n">
        <x:v>31</x:v>
      </x:c>
      <x:c r="E197" t="n">
        <x:v>31</x:v>
      </x:c>
      <x:c r="F197" s="46" t="n">
        <x:v>100</x:v>
      </x:c>
      <x:c r="G197" s="46" t="n">
        <x:v>100</x:v>
      </x:c>
      <x:c r="H197" s="46" t="n">
        <x:f>B197-C197</x:f>
        <x:v>-91.69999999999999</x:v>
      </x:c>
      <x:c r="I197" s="46" t="n">
        <x:f>LN((B197+1)/(C197+1))</x:f>
        <x:v>-0.302096908464409</x:v>
      </x:c>
      <x:c r="J197" t="str">
        <x:f>IF(A197&lt;"1997-06","Antes","Después")</x:f>
        <x:v>Después</x:v>
      </x:c>
      <x:c r="K197" t="str">
        <x:v>51025090</x:v>
      </x:c>
    </x:row>
    <x:row r="198">
      <x:c r="A198" t="str">
        <x:v>2002-02</x:v>
      </x:c>
      <x:c r="B198" s="44" t="n">
        <x:v>692</x:v>
      </x:c>
      <x:c r="C198" s="44" t="n">
        <x:v>369.1</x:v>
      </x:c>
      <x:c r="D198" t="n">
        <x:v>28</x:v>
      </x:c>
      <x:c r="E198" t="n">
        <x:v>28</x:v>
      </x:c>
      <x:c r="F198" s="46" t="n">
        <x:v>100</x:v>
      </x:c>
      <x:c r="G198" s="46" t="n">
        <x:v>100</x:v>
      </x:c>
      <x:c r="H198" s="46" t="n">
        <x:f>B198-C198</x:f>
        <x:v>322.9</x:v>
      </x:c>
      <x:c r="I198" s="46" t="n">
        <x:f>LN((B198+1)/(C198+1))</x:f>
        <x:v>0.6272567597977929</x:v>
      </x:c>
      <x:c r="J198" t="str">
        <x:f>IF(A198&lt;"1997-06","Antes","Después")</x:f>
        <x:v>Después</x:v>
      </x:c>
      <x:c r="K198" t="str">
        <x:v>51025090</x:v>
      </x:c>
    </x:row>
    <x:row r="199">
      <x:c r="A199" t="str">
        <x:v>2002-03</x:v>
      </x:c>
      <x:c r="B199" s="44" t="n">
        <x:v>346</x:v>
      </x:c>
      <x:c r="C199" s="44" t="n">
        <x:v>159.9</x:v>
      </x:c>
      <x:c r="D199" t="n">
        <x:v>31</x:v>
      </x:c>
      <x:c r="E199" t="n">
        <x:v>31</x:v>
      </x:c>
      <x:c r="F199" s="46" t="n">
        <x:v>100</x:v>
      </x:c>
      <x:c r="G199" s="46" t="n">
        <x:v>100</x:v>
      </x:c>
      <x:c r="H199" s="46" t="n">
        <x:f>B199-C199</x:f>
        <x:v>186.1</x:v>
      </x:c>
      <x:c r="I199" s="46" t="n">
        <x:f>LN((B199+1)/(C199+1))</x:f>
        <x:v>0.7685417259485215</x:v>
      </x:c>
      <x:c r="J199" t="str">
        <x:f>IF(A199&lt;"1997-06","Antes","Después")</x:f>
        <x:v>Después</x:v>
      </x:c>
      <x:c r="K199" t="str">
        <x:v>51025090</x:v>
      </x:c>
    </x:row>
    <x:row r="200">
      <x:c r="A200" t="str">
        <x:v>2002-04</x:v>
      </x:c>
      <x:c r="B200" s="44" t="n">
        <x:v>348.1</x:v>
      </x:c>
      <x:c r="C200" s="44" t="n">
        <x:v>439.7</x:v>
      </x:c>
      <x:c r="D200" t="n">
        <x:v>30</x:v>
      </x:c>
      <x:c r="E200" t="n">
        <x:v>30</x:v>
      </x:c>
      <x:c r="F200" s="46" t="n">
        <x:v>100</x:v>
      </x:c>
      <x:c r="G200" s="46" t="n">
        <x:v>100</x:v>
      </x:c>
      <x:c r="H200" s="46" t="n">
        <x:f>B200-C200</x:f>
        <x:v>-91.59999999999997</x:v>
      </x:c>
      <x:c r="I200" s="46" t="n">
        <x:f>LN((B200+1)/(C200+1))</x:f>
        <x:v>-0.23300595773695082</x:v>
      </x:c>
      <x:c r="J200" t="str">
        <x:f>IF(A200&lt;"1997-06","Antes","Después")</x:f>
        <x:v>Después</x:v>
      </x:c>
      <x:c r="K200" t="str">
        <x:v>51025090</x:v>
      </x:c>
    </x:row>
    <x:row r="201">
      <x:c r="A201" t="str">
        <x:v>2002-05</x:v>
      </x:c>
      <x:c r="B201" s="44" t="n">
        <x:v>415</x:v>
      </x:c>
      <x:c r="C201" s="44" t="n">
        <x:v>463</x:v>
      </x:c>
      <x:c r="D201" t="n">
        <x:v>31</x:v>
      </x:c>
      <x:c r="E201" t="n">
        <x:v>31</x:v>
      </x:c>
      <x:c r="F201" s="46" t="n">
        <x:v>100</x:v>
      </x:c>
      <x:c r="G201" s="46" t="n">
        <x:v>100</x:v>
      </x:c>
      <x:c r="H201" s="46" t="n">
        <x:f>B201-C201</x:f>
        <x:v>-48</x:v>
      </x:c>
      <x:c r="I201" s="46" t="n">
        <x:f>LN((B201+1)/(C201+1))</x:f>
        <x:v>-0.10919929196499197</x:v>
      </x:c>
      <x:c r="J201" t="str">
        <x:f>IF(A201&lt;"1997-06","Antes","Después")</x:f>
        <x:v>Después</x:v>
      </x:c>
      <x:c r="K201" t="str">
        <x:v>51025090</x:v>
      </x:c>
    </x:row>
    <x:row r="202">
      <x:c r="A202" t="str">
        <x:v>2002-06</x:v>
      </x:c>
      <x:c r="B202" s="44" t="n">
        <x:v>474</x:v>
      </x:c>
      <x:c r="C202" s="44" t="n">
        <x:v>389</x:v>
      </x:c>
      <x:c r="D202" t="n">
        <x:v>30</x:v>
      </x:c>
      <x:c r="E202" t="n">
        <x:v>30</x:v>
      </x:c>
      <x:c r="F202" s="46" t="n">
        <x:v>100</x:v>
      </x:c>
      <x:c r="G202" s="46" t="n">
        <x:v>100</x:v>
      </x:c>
      <x:c r="H202" s="46" t="n">
        <x:f>B202-C202</x:f>
        <x:v>85</x:v>
      </x:c>
      <x:c r="I202" s="46" t="n">
        <x:f>LN((B202+1)/(C202+1))</x:f>
        <x:v>0.19716806491094901</x:v>
      </x:c>
      <x:c r="J202" t="str">
        <x:f>IF(A202&lt;"1997-06","Antes","Después")</x:f>
        <x:v>Después</x:v>
      </x:c>
      <x:c r="K202" t="str">
        <x:v>51025090</x:v>
      </x:c>
    </x:row>
    <x:row r="203">
      <x:c r="A203" t="str">
        <x:v>2002-07</x:v>
      </x:c>
      <x:c r="B203" s="44" t="n">
        <x:v>322</x:v>
      </x:c>
      <x:c r="C203" s="44" t="n">
        <x:v>325</x:v>
      </x:c>
      <x:c r="D203" t="n">
        <x:v>31</x:v>
      </x:c>
      <x:c r="E203" t="n">
        <x:v>31</x:v>
      </x:c>
      <x:c r="F203" s="46" t="n">
        <x:v>100</x:v>
      </x:c>
      <x:c r="G203" s="46" t="n">
        <x:v>100</x:v>
      </x:c>
      <x:c r="H203" s="46" t="n">
        <x:f>B203-C203</x:f>
        <x:v>-3</x:v>
      </x:c>
      <x:c r="I203" s="46" t="n">
        <x:f>LN((B203+1)/(C203+1))</x:f>
        <x:v>-0.00924505814405105</x:v>
      </x:c>
      <x:c r="J203" t="str">
        <x:f>IF(A203&lt;"1997-06","Antes","Después")</x:f>
        <x:v>Después</x:v>
      </x:c>
      <x:c r="K203" t="str">
        <x:v>51025090</x:v>
      </x:c>
    </x:row>
    <x:row r="204">
      <x:c r="A204" t="str">
        <x:v>2002-08</x:v>
      </x:c>
      <x:c r="B204" s="44" t="n">
        <x:v>8</x:v>
      </x:c>
      <x:c r="C204" s="44" t="n">
        <x:v>14.6</x:v>
      </x:c>
      <x:c r="D204" t="n">
        <x:v>31</x:v>
      </x:c>
      <x:c r="E204" t="n">
        <x:v>31</x:v>
      </x:c>
      <x:c r="F204" s="46" t="n">
        <x:v>100</x:v>
      </x:c>
      <x:c r="G204" s="46" t="n">
        <x:v>100</x:v>
      </x:c>
      <x:c r="H204" s="46" t="n">
        <x:f>B204-C204</x:f>
        <x:v>-6.6</x:v>
      </x:c>
      <x:c r="I204" s="46" t="n">
        <x:f>LN((B204+1)/(C204+1))</x:f>
        <x:v>-0.5500463369192718</x:v>
      </x:c>
      <x:c r="J204" t="str">
        <x:f>IF(A204&lt;"1997-06","Antes","Después")</x:f>
        <x:v>Después</x:v>
      </x:c>
      <x:c r="K204" t="str">
        <x:v>51025090</x:v>
      </x:c>
    </x:row>
    <x:row r="205">
      <x:c r="A205" t="str">
        <x:v>2002-09</x:v>
      </x:c>
      <x:c r="B205" s="44" t="n">
        <x:v>100</x:v>
      </x:c>
      <x:c r="C205" s="44" t="n">
        <x:v>131.5</x:v>
      </x:c>
      <x:c r="D205" t="n">
        <x:v>30</x:v>
      </x:c>
      <x:c r="E205" t="n">
        <x:v>30</x:v>
      </x:c>
      <x:c r="F205" s="46" t="n">
        <x:v>100</x:v>
      </x:c>
      <x:c r="G205" s="46" t="n">
        <x:v>100</x:v>
      </x:c>
      <x:c r="H205" s="46" t="n">
        <x:f>B205-C205</x:f>
        <x:v>-31.5</x:v>
      </x:c>
      <x:c r="I205" s="46" t="n">
        <x:f>LN((B205+1)/(C205+1))</x:f>
        <x:v>-0.2714621285850174</x:v>
      </x:c>
      <x:c r="J205" t="str">
        <x:f>IF(A205&lt;"1997-06","Antes","Después")</x:f>
        <x:v>Después</x:v>
      </x:c>
      <x:c r="K205" t="str">
        <x:v>51025090</x:v>
      </x:c>
    </x:row>
    <x:row r="206">
      <x:c r="A206" t="str">
        <x:v>2002-10</x:v>
      </x:c>
      <x:c r="B206" s="44" t="n">
        <x:v>233</x:v>
      </x:c>
      <x:c r="C206" s="44" t="n">
        <x:v>185.6</x:v>
      </x:c>
      <x:c r="D206" t="n">
        <x:v>31</x:v>
      </x:c>
      <x:c r="E206" t="n">
        <x:v>31</x:v>
      </x:c>
      <x:c r="F206" s="46" t="n">
        <x:v>100</x:v>
      </x:c>
      <x:c r="G206" s="46" t="n">
        <x:v>100</x:v>
      </x:c>
      <x:c r="H206" s="46" t="n">
        <x:f>B206-C206</x:f>
        <x:v>47.400000000000006</x:v>
      </x:c>
      <x:c r="I206" s="46" t="n">
        <x:f>LN((B206+1)/(C206+1))</x:f>
        <x:v>0.22635382694445808</x:v>
      </x:c>
      <x:c r="J206" t="str">
        <x:f>IF(A206&lt;"1997-06","Antes","Después")</x:f>
        <x:v>Después</x:v>
      </x:c>
      <x:c r="K206" t="str">
        <x:v>51025090</x:v>
      </x:c>
    </x:row>
    <x:row r="207">
      <x:c r="A207" t="str">
        <x:v>2002-11</x:v>
      </x:c>
      <x:c r="B207" s="44" t="n">
        <x:v>78</x:v>
      </x:c>
      <x:c r="C207" s="44" t="n">
        <x:v>237.1</x:v>
      </x:c>
      <x:c r="D207" t="n">
        <x:v>30</x:v>
      </x:c>
      <x:c r="E207" t="n">
        <x:v>29</x:v>
      </x:c>
      <x:c r="F207" s="46" t="n">
        <x:v>100</x:v>
      </x:c>
      <x:c r="G207" s="46" t="n">
        <x:v>96.67</x:v>
      </x:c>
      <x:c r="H207" s="46" t="n">
        <x:f>B207-C207</x:f>
        <x:v>-159.1</x:v>
      </x:c>
      <x:c r="I207" s="46" t="n">
        <x:f>LN((B207+1)/(C207+1))</x:f>
        <x:v>-1.1032429010257956</x:v>
      </x:c>
      <x:c r="J207" t="str">
        <x:f>IF(A207&lt;"1997-06","Antes","Después")</x:f>
        <x:v>Después</x:v>
      </x:c>
      <x:c r="K207" t="str">
        <x:v>51025090</x:v>
      </x:c>
    </x:row>
    <x:row r="208">
      <x:c r="A208" t="str">
        <x:v>2002-12</x:v>
      </x:c>
      <x:c r="B208" s="44" t="n">
        <x:v>689</x:v>
      </x:c>
      <x:c r="C208" s="44" t="n">
        <x:v>366.6</x:v>
      </x:c>
      <x:c r="D208" t="n">
        <x:v>31</x:v>
      </x:c>
      <x:c r="E208" t="n">
        <x:v>30</x:v>
      </x:c>
      <x:c r="F208" s="46" t="n">
        <x:v>100</x:v>
      </x:c>
      <x:c r="G208" s="46" t="n">
        <x:v>96.77</x:v>
      </x:c>
      <x:c r="H208" s="46" t="n">
        <x:f>B208-C208</x:f>
        <x:v>322.4</x:v>
      </x:c>
      <x:c r="I208" s="46" t="n">
        <x:f>LN((B208+1)/(C208+1))</x:f>
        <x:v>0.629696207109773</x:v>
      </x:c>
      <x:c r="J208" t="str">
        <x:f>IF(A208&lt;"1997-06","Antes","Después")</x:f>
        <x:v>Después</x:v>
      </x:c>
      <x:c r="K208" t="str">
        <x:v>51025090</x:v>
      </x:c>
    </x:row>
    <x:row r="209">
      <x:c r="A209" t="str">
        <x:v>2003-01</x:v>
      </x:c>
      <x:c r="B209" s="44" t="n">
        <x:v>306</x:v>
      </x:c>
      <x:c r="C209" s="44" t="n">
        <x:v>49.7</x:v>
      </x:c>
      <x:c r="D209" t="n">
        <x:v>31</x:v>
      </x:c>
      <x:c r="E209" t="n">
        <x:v>30</x:v>
      </x:c>
      <x:c r="F209" s="46" t="n">
        <x:v>100</x:v>
      </x:c>
      <x:c r="G209" s="46" t="n">
        <x:v>96.77</x:v>
      </x:c>
      <x:c r="H209" s="46" t="n">
        <x:f>B209-C209</x:f>
        <x:v>256.3</x:v>
      </x:c>
      <x:c r="I209" s="46" t="n">
        <x:f>LN((B209+1)/(C209+1))</x:f>
        <x:v>1.8009218369900595</x:v>
      </x:c>
      <x:c r="J209" t="str">
        <x:f>IF(A209&lt;"1997-06","Antes","Después")</x:f>
        <x:v>Después</x:v>
      </x:c>
      <x:c r="K209" t="str">
        <x:v>51025090</x:v>
      </x:c>
    </x:row>
    <x:row r="210">
      <x:c r="A210" t="str">
        <x:v>2003-02</x:v>
      </x:c>
      <x:c r="B210" s="44" t="n">
        <x:v>250</x:v>
      </x:c>
      <x:c r="C210" s="44" t="n">
        <x:v>55.6</x:v>
      </x:c>
      <x:c r="D210" t="n">
        <x:v>28</x:v>
      </x:c>
      <x:c r="E210" t="n">
        <x:v>26</x:v>
      </x:c>
      <x:c r="F210" s="46" t="n">
        <x:v>100</x:v>
      </x:c>
      <x:c r="G210" s="46" t="n">
        <x:v>92.86</x:v>
      </x:c>
      <x:c r="H210" s="46" t="n">
        <x:f>B210-C210</x:f>
        <x:v>194.4</x:v>
      </x:c>
      <x:c r="I210" s="46" t="n">
        <x:f>LN((B210+1)/(C210+1))</x:f>
        <x:v>1.4894439539226465</x:v>
      </x:c>
      <x:c r="J210" t="str">
        <x:f>IF(A210&lt;"1997-06","Antes","Después")</x:f>
        <x:v>Después</x:v>
      </x:c>
      <x:c r="K210" t="str">
        <x:v>51025090</x:v>
      </x:c>
    </x:row>
    <x:row r="211">
      <x:c r="A211" t="str">
        <x:v>2003-03</x:v>
      </x:c>
      <x:c r="B211" s="44" t="n">
        <x:v>292</x:v>
      </x:c>
      <x:c r="C211" s="44" t="n">
        <x:v>305</x:v>
      </x:c>
      <x:c r="D211" t="n">
        <x:v>31</x:v>
      </x:c>
      <x:c r="E211" t="n">
        <x:v>28</x:v>
      </x:c>
      <x:c r="F211" s="46" t="n">
        <x:v>100</x:v>
      </x:c>
      <x:c r="G211" s="46" t="n">
        <x:v>90.32</x:v>
      </x:c>
      <x:c r="H211" s="46" t="n">
        <x:f>B211-C211</x:f>
        <x:v>-13</x:v>
      </x:c>
      <x:c r="I211" s="46" t="n">
        <x:f>LN((B211+1)/(C211+1))</x:f>
        <x:v>-0.04341249293531343</x:v>
      </x:c>
      <x:c r="J211" t="str">
        <x:f>IF(A211&lt;"1997-06","Antes","Después")</x:f>
        <x:v>Después</x:v>
      </x:c>
      <x:c r="K211" t="str">
        <x:v>51025090</x:v>
      </x:c>
    </x:row>
    <x:row r="212">
      <x:c r="A212" t="str">
        <x:v>2003-04</x:v>
      </x:c>
      <x:c r="B212" s="44" t="n">
        <x:v>679</x:v>
      </x:c>
      <x:c r="C212" s="44" t="n">
        <x:v>447.5</x:v>
      </x:c>
      <x:c r="D212" t="n">
        <x:v>30</x:v>
      </x:c>
      <x:c r="E212" t="n">
        <x:v>30</x:v>
      </x:c>
      <x:c r="F212" s="46" t="n">
        <x:v>100</x:v>
      </x:c>
      <x:c r="G212" s="46" t="n">
        <x:v>100</x:v>
      </x:c>
      <x:c r="H212" s="46" t="n">
        <x:f>B212-C212</x:f>
        <x:v>231.5</x:v>
      </x:c>
      <x:c r="I212" s="46" t="n">
        <x:f>LN((B212+1)/(C212+1))</x:f>
        <x:v>0.41618411667130156</x:v>
      </x:c>
      <x:c r="J212" t="str">
        <x:f>IF(A212&lt;"1997-06","Antes","Después")</x:f>
        <x:v>Después</x:v>
      </x:c>
      <x:c r="K212" t="str">
        <x:v>51025090</x:v>
      </x:c>
    </x:row>
    <x:row r="213">
      <x:c r="A213" t="str">
        <x:v>2003-05</x:v>
      </x:c>
      <x:c r="B213" s="44" t="n">
        <x:v>759</x:v>
      </x:c>
      <x:c r="C213" s="44" t="n">
        <x:v>622.6</x:v>
      </x:c>
      <x:c r="D213" t="n">
        <x:v>31</x:v>
      </x:c>
      <x:c r="E213" t="n">
        <x:v>30</x:v>
      </x:c>
      <x:c r="F213" s="46" t="n">
        <x:v>100</x:v>
      </x:c>
      <x:c r="G213" s="46" t="n">
        <x:v>96.77</x:v>
      </x:c>
      <x:c r="H213" s="46" t="n">
        <x:f>B213-C213</x:f>
        <x:v>136.39999999999998</x:v>
      </x:c>
      <x:c r="I213" s="46" t="n">
        <x:f>LN((B213+1)/(C213+1))</x:f>
        <x:v>0.19780929609675524</x:v>
      </x:c>
      <x:c r="J213" t="str">
        <x:f>IF(A213&lt;"1997-06","Antes","Después")</x:f>
        <x:v>Después</x:v>
      </x:c>
      <x:c r="K213" t="str">
        <x:v>51025090</x:v>
      </x:c>
    </x:row>
    <x:row r="214">
      <x:c r="A214" t="str">
        <x:v>2003-06</x:v>
      </x:c>
      <x:c r="B214" s="44" t="n">
        <x:v>231</x:v>
      </x:c>
      <x:c r="C214" s="44" t="n">
        <x:v>262.3</x:v>
      </x:c>
      <x:c r="D214" t="n">
        <x:v>30</x:v>
      </x:c>
      <x:c r="E214" t="n">
        <x:v>28</x:v>
      </x:c>
      <x:c r="F214" s="46" t="n">
        <x:v>100</x:v>
      </x:c>
      <x:c r="G214" s="46" t="n">
        <x:v>93.33</x:v>
      </x:c>
      <x:c r="H214" s="46" t="n">
        <x:f>B214-C214</x:f>
        <x:v>-31.30000000000001</x:v>
      </x:c>
      <x:c r="I214" s="46" t="n">
        <x:f>LN((B214+1)/(C214+1))</x:f>
        <x:v>-0.12655669483595375</x:v>
      </x:c>
      <x:c r="J214" t="str">
        <x:f>IF(A214&lt;"1997-06","Antes","Después")</x:f>
        <x:v>Después</x:v>
      </x:c>
      <x:c r="K214" t="str">
        <x:v>51025090</x:v>
      </x:c>
    </x:row>
    <x:row r="215">
      <x:c r="A215" t="str">
        <x:v>2003-08</x:v>
      </x:c>
      <x:c r="B215" s="44" t="n">
        <x:v>506</x:v>
      </x:c>
      <x:c r="C215" s="44" t="n">
        <x:v>403</x:v>
      </x:c>
      <x:c r="D215" t="n">
        <x:v>31</x:v>
      </x:c>
      <x:c r="E215" t="n">
        <x:v>31</x:v>
      </x:c>
      <x:c r="F215" s="46" t="n">
        <x:v>100</x:v>
      </x:c>
      <x:c r="G215" s="46" t="n">
        <x:v>100</x:v>
      </x:c>
      <x:c r="H215" s="46" t="n">
        <x:f>B215-C215</x:f>
        <x:v>103</x:v>
      </x:c>
      <x:c r="I215" s="46" t="n">
        <x:f>LN((B215+1)/(C215+1))</x:f>
        <x:v>0.2270961256300331</x:v>
      </x:c>
      <x:c r="J215" t="str">
        <x:f>IF(A215&lt;"1997-06","Antes","Después")</x:f>
        <x:v>Después</x:v>
      </x:c>
      <x:c r="K215" t="str">
        <x:v>51025090</x:v>
      </x:c>
    </x:row>
    <x:row r="216">
      <x:c r="A216" t="str">
        <x:v>2003-09</x:v>
      </x:c>
      <x:c r="B216" s="44" t="n">
        <x:v>562</x:v>
      </x:c>
      <x:c r="C216" s="44" t="n">
        <x:v>181.9</x:v>
      </x:c>
      <x:c r="D216" t="n">
        <x:v>30</x:v>
      </x:c>
      <x:c r="E216" t="n">
        <x:v>30</x:v>
      </x:c>
      <x:c r="F216" s="46" t="n">
        <x:v>100</x:v>
      </x:c>
      <x:c r="G216" s="46" t="n">
        <x:v>100</x:v>
      </x:c>
      <x:c r="H216" s="46" t="n">
        <x:f>B216-C216</x:f>
        <x:v>380.1</x:v>
      </x:c>
      <x:c r="I216" s="46" t="n">
        <x:f>LN((B216+1)/(C216+1))</x:f>
        <x:v>1.1243400727428703</x:v>
      </x:c>
      <x:c r="J216" t="str">
        <x:f>IF(A216&lt;"1997-06","Antes","Después")</x:f>
        <x:v>Después</x:v>
      </x:c>
      <x:c r="K216" t="str">
        <x:v>51025090</x:v>
      </x:c>
    </x:row>
    <x:row r="217">
      <x:c r="A217" t="str">
        <x:v>2003-10</x:v>
      </x:c>
      <x:c r="B217" s="44" t="n">
        <x:v>554</x:v>
      </x:c>
      <x:c r="C217" s="44" t="n">
        <x:v>139.3</x:v>
      </x:c>
      <x:c r="D217" t="n">
        <x:v>31</x:v>
      </x:c>
      <x:c r="E217" t="n">
        <x:v>30</x:v>
      </x:c>
      <x:c r="F217" s="46" t="n">
        <x:v>100</x:v>
      </x:c>
      <x:c r="G217" s="46" t="n">
        <x:v>96.77</x:v>
      </x:c>
      <x:c r="H217" s="46" t="n">
        <x:f>B217-C217</x:f>
        <x:v>414.7</x:v>
      </x:c>
      <x:c r="I217" s="46" t="n">
        <x:f>LN((B217+1)/(C217+1))</x:f>
        <x:v>1.3751851266380193</x:v>
      </x:c>
      <x:c r="J217" t="str">
        <x:f>IF(A217&lt;"1997-06","Antes","Después")</x:f>
        <x:v>Después</x:v>
      </x:c>
      <x:c r="K217" t="str">
        <x:v>51025090</x:v>
      </x:c>
    </x:row>
    <x:row r="218">
      <x:c r="A218" t="str">
        <x:v>2003-11</x:v>
      </x:c>
      <x:c r="B218" s="44" t="n">
        <x:v>237</x:v>
      </x:c>
      <x:c r="C218" s="44" t="n">
        <x:v>281.9</x:v>
      </x:c>
      <x:c r="D218" t="n">
        <x:v>30</x:v>
      </x:c>
      <x:c r="E218" t="n">
        <x:v>30</x:v>
      </x:c>
      <x:c r="F218" s="46" t="n">
        <x:v>100</x:v>
      </x:c>
      <x:c r="G218" s="46" t="n">
        <x:v>100</x:v>
      </x:c>
      <x:c r="H218" s="46" t="n">
        <x:f>B218-C218</x:f>
        <x:v>-44.89999999999998</x:v>
      </x:c>
      <x:c r="I218" s="46" t="n">
        <x:f>LN((B218+1)/(C218+1))</x:f>
        <x:v>-0.17282280463604677</x:v>
      </x:c>
      <x:c r="J218" t="str">
        <x:f>IF(A218&lt;"1997-06","Antes","Después")</x:f>
        <x:v>Después</x:v>
      </x:c>
      <x:c r="K218" t="str">
        <x:v>51025090</x:v>
      </x:c>
    </x:row>
    <x:row r="219">
      <x:c r="A219" t="str">
        <x:v>2003-12</x:v>
      </x:c>
      <x:c r="B219" s="44" t="n">
        <x:v>305</x:v>
      </x:c>
      <x:c r="C219" s="44" t="n">
        <x:v>296.3</x:v>
      </x:c>
      <x:c r="D219" t="n">
        <x:v>31</x:v>
      </x:c>
      <x:c r="E219" t="n">
        <x:v>31</x:v>
      </x:c>
      <x:c r="F219" s="46" t="n">
        <x:v>100</x:v>
      </x:c>
      <x:c r="G219" s="46" t="n">
        <x:v>100</x:v>
      </x:c>
      <x:c r="H219" s="46" t="n">
        <x:f>B219-C219</x:f>
        <x:v>8.699999999999989</x:v>
      </x:c>
      <x:c r="I219" s="46" t="n">
        <x:f>LN((B219+1)/(C219+1))</x:f>
        <x:v>0.028843371948328776</x:v>
      </x:c>
      <x:c r="J219" t="str">
        <x:f>IF(A219&lt;"1997-06","Antes","Después")</x:f>
        <x:v>Después</x:v>
      </x:c>
      <x:c r="K219" t="str">
        <x:v>51025090</x:v>
      </x:c>
    </x:row>
    <x:row r="220">
      <x:c r="A220" t="str">
        <x:v>2004-01</x:v>
      </x:c>
      <x:c r="B220" s="44" t="n">
        <x:v>623</x:v>
      </x:c>
      <x:c r="C220" s="44" t="n">
        <x:v>377.9</x:v>
      </x:c>
      <x:c r="D220" t="n">
        <x:v>31</x:v>
      </x:c>
      <x:c r="E220" t="n">
        <x:v>31</x:v>
      </x:c>
      <x:c r="F220" s="46" t="n">
        <x:v>100</x:v>
      </x:c>
      <x:c r="G220" s="46" t="n">
        <x:v>100</x:v>
      </x:c>
      <x:c r="H220" s="46" t="n">
        <x:f>B220-C220</x:f>
        <x:v>245.10000000000002</x:v>
      </x:c>
      <x:c r="I220" s="46" t="n">
        <x:f>LN((B220+1)/(C220+1))</x:f>
        <x:v>0.4988780503448726</x:v>
      </x:c>
      <x:c r="J220" t="str">
        <x:f>IF(A220&lt;"1997-06","Antes","Después")</x:f>
        <x:v>Después</x:v>
      </x:c>
      <x:c r="K220" t="str">
        <x:v>51025090</x:v>
      </x:c>
    </x:row>
    <x:row r="221">
      <x:c r="A221" t="str">
        <x:v>2004-02</x:v>
      </x:c>
      <x:c r="B221" s="44" t="n">
        <x:v>292</x:v>
      </x:c>
      <x:c r="C221" s="44" t="n">
        <x:v>180.3</x:v>
      </x:c>
      <x:c r="D221" t="n">
        <x:v>29</x:v>
      </x:c>
      <x:c r="E221" t="n">
        <x:v>29</x:v>
      </x:c>
      <x:c r="F221" s="46" t="n">
        <x:v>100</x:v>
      </x:c>
      <x:c r="G221" s="46" t="n">
        <x:v>100</x:v>
      </x:c>
      <x:c r="H221" s="46" t="n">
        <x:f>B221-C221</x:f>
        <x:v>111.69999999999999</x:v>
      </x:c>
      <x:c r="I221" s="46" t="n">
        <x:f>LN((B221+1)/(C221+1))</x:f>
        <x:v>0.4800194912562619</x:v>
      </x:c>
      <x:c r="J221" t="str">
        <x:f>IF(A221&lt;"1997-06","Antes","Después")</x:f>
        <x:v>Después</x:v>
      </x:c>
      <x:c r="K221" t="str">
        <x:v>51025090</x:v>
      </x:c>
    </x:row>
    <x:row r="222">
      <x:c r="A222" t="str">
        <x:v>2004-03</x:v>
      </x:c>
      <x:c r="B222" s="44" t="n">
        <x:v>137</x:v>
      </x:c>
      <x:c r="C222" s="44" t="n">
        <x:v>99.2</x:v>
      </x:c>
      <x:c r="D222" t="n">
        <x:v>31</x:v>
      </x:c>
      <x:c r="E222" t="n">
        <x:v>31</x:v>
      </x:c>
      <x:c r="F222" s="46" t="n">
        <x:v>100</x:v>
      </x:c>
      <x:c r="G222" s="46" t="n">
        <x:v>100</x:v>
      </x:c>
      <x:c r="H222" s="46" t="n">
        <x:f>B222-C222</x:f>
        <x:v>37.8</x:v>
      </x:c>
      <x:c r="I222" s="46" t="n">
        <x:f>LN((B222+1)/(C222+1))</x:f>
        <x:v>0.32008549650644025</x:v>
      </x:c>
      <x:c r="J222" t="str">
        <x:f>IF(A222&lt;"1997-06","Antes","Después")</x:f>
        <x:v>Después</x:v>
      </x:c>
      <x:c r="K222" t="str">
        <x:v>51025090</x:v>
      </x:c>
    </x:row>
    <x:row r="223">
      <x:c r="A223" t="str">
        <x:v>2004-04</x:v>
      </x:c>
      <x:c r="B223" s="44" t="n">
        <x:v>408</x:v>
      </x:c>
      <x:c r="C223" s="44" t="n">
        <x:v>223.7</x:v>
      </x:c>
      <x:c r="D223" t="n">
        <x:v>30</x:v>
      </x:c>
      <x:c r="E223" t="n">
        <x:v>30</x:v>
      </x:c>
      <x:c r="F223" s="46" t="n">
        <x:v>100</x:v>
      </x:c>
      <x:c r="G223" s="46" t="n">
        <x:v>100</x:v>
      </x:c>
      <x:c r="H223" s="46" t="n">
        <x:f>B223-C223</x:f>
        <x:v>184.3</x:v>
      </x:c>
      <x:c r="I223" s="46" t="n">
        <x:f>LN((B223+1)/(C223+1))</x:f>
        <x:v>0.5989489768515184</x:v>
      </x:c>
      <x:c r="J223" t="str">
        <x:f>IF(A223&lt;"1997-06","Antes","Después")</x:f>
        <x:v>Después</x:v>
      </x:c>
      <x:c r="K223" t="str">
        <x:v>51025090</x:v>
      </x:c>
    </x:row>
    <x:row r="224">
      <x:c r="A224" t="str">
        <x:v>2004-05</x:v>
      </x:c>
      <x:c r="B224" s="44" t="n">
        <x:v>662</x:v>
      </x:c>
      <x:c r="C224" s="44" t="n">
        <x:v>441.5</x:v>
      </x:c>
      <x:c r="D224" t="n">
        <x:v>31</x:v>
      </x:c>
      <x:c r="E224" t="n">
        <x:v>31</x:v>
      </x:c>
      <x:c r="F224" s="46" t="n">
        <x:v>100</x:v>
      </x:c>
      <x:c r="G224" s="46" t="n">
        <x:v>100</x:v>
      </x:c>
      <x:c r="H224" s="46" t="n">
        <x:f>B224-C224</x:f>
        <x:v>220.5</x:v>
      </x:c>
      <x:c r="I224" s="46" t="n">
        <x:f>LN((B224+1)/(C224+1))</x:f>
        <x:v>0.40433452573787826</x:v>
      </x:c>
      <x:c r="J224" t="str">
        <x:f>IF(A224&lt;"1997-06","Antes","Después")</x:f>
        <x:v>Después</x:v>
      </x:c>
      <x:c r="K224" t="str">
        <x:v>51025090</x:v>
      </x:c>
    </x:row>
    <x:row r="225">
      <x:c r="A225" t="str">
        <x:v>2004-06</x:v>
      </x:c>
      <x:c r="B225" s="44" t="n">
        <x:v>141</x:v>
      </x:c>
      <x:c r="C225" s="44" t="n">
        <x:v>70.9</x:v>
      </x:c>
      <x:c r="D225" t="n">
        <x:v>30</x:v>
      </x:c>
      <x:c r="E225" t="n">
        <x:v>30</x:v>
      </x:c>
      <x:c r="F225" s="46" t="n">
        <x:v>100</x:v>
      </x:c>
      <x:c r="G225" s="46" t="n">
        <x:v>100</x:v>
      </x:c>
      <x:c r="H225" s="46" t="n">
        <x:f>B225-C225</x:f>
        <x:v>70.1</x:v>
      </x:c>
      <x:c r="I225" s="46" t="n">
        <x:f>LN((B225+1)/(C225+1))</x:f>
        <x:v>0.6805507928742597</x:v>
      </x:c>
      <x:c r="J225" t="str">
        <x:f>IF(A225&lt;"1997-06","Antes","Después")</x:f>
        <x:v>Después</x:v>
      </x:c>
      <x:c r="K225" t="str">
        <x:v>51025090</x:v>
      </x:c>
    </x:row>
    <x:row r="226">
      <x:c r="A226" t="str">
        <x:v>2004-07</x:v>
      </x:c>
      <x:c r="B226" s="44" t="n">
        <x:v>145</x:v>
      </x:c>
      <x:c r="C226" s="44" t="n">
        <x:v>173.4</x:v>
      </x:c>
      <x:c r="D226" t="n">
        <x:v>31</x:v>
      </x:c>
      <x:c r="E226" t="n">
        <x:v>30</x:v>
      </x:c>
      <x:c r="F226" s="46" t="n">
        <x:v>100</x:v>
      </x:c>
      <x:c r="G226" s="46" t="n">
        <x:v>96.77</x:v>
      </x:c>
      <x:c r="H226" s="46" t="n">
        <x:f>B226-C226</x:f>
        <x:v>-28.400000000000006</x:v>
      </x:c>
      <x:c r="I226" s="46" t="n">
        <x:f>LN((B226+1)/(C226+1))</x:f>
        <x:v>-0.1777448897665429</x:v>
      </x:c>
      <x:c r="J226" t="str">
        <x:f>IF(A226&lt;"1997-06","Antes","Después")</x:f>
        <x:v>Después</x:v>
      </x:c>
      <x:c r="K226" t="str">
        <x:v>51025090</x:v>
      </x:c>
    </x:row>
    <x:row r="227">
      <x:c r="A227" t="str">
        <x:v>2004-08</x:v>
      </x:c>
      <x:c r="B227" s="44" t="n">
        <x:v>0</x:v>
      </x:c>
      <x:c r="C227" s="44" t="n">
        <x:v>21.1</x:v>
      </x:c>
      <x:c r="D227" t="n">
        <x:v>31</x:v>
      </x:c>
      <x:c r="E227" t="n">
        <x:v>31</x:v>
      </x:c>
      <x:c r="F227" s="46" t="n">
        <x:v>100</x:v>
      </x:c>
      <x:c r="G227" s="46" t="n">
        <x:v>100</x:v>
      </x:c>
      <x:c r="H227" s="46" t="n">
        <x:f>B227-C227</x:f>
        <x:v>-21.1</x:v>
      </x:c>
      <x:c r="I227" s="46" t="n">
        <x:f>LN((B227+1)/(C227+1))</x:f>
        <x:v>-3.095577608523707</x:v>
      </x:c>
      <x:c r="J227" t="str">
        <x:f>IF(A227&lt;"1997-06","Antes","Después")</x:f>
        <x:v>Después</x:v>
      </x:c>
      <x:c r="K227" t="str">
        <x:v>51025090</x:v>
      </x:c>
    </x:row>
    <x:row r="228">
      <x:c r="A228" t="str">
        <x:v>2004-09</x:v>
      </x:c>
      <x:c r="B228" s="44" t="n">
        <x:v>205</x:v>
      </x:c>
      <x:c r="C228" s="44" t="n">
        <x:v>292.3</x:v>
      </x:c>
      <x:c r="D228" t="n">
        <x:v>30</x:v>
      </x:c>
      <x:c r="E228" t="n">
        <x:v>30</x:v>
      </x:c>
      <x:c r="F228" s="46" t="n">
        <x:v>100</x:v>
      </x:c>
      <x:c r="G228" s="46" t="n">
        <x:v>100</x:v>
      </x:c>
      <x:c r="H228" s="46" t="n">
        <x:f>B228-C228</x:f>
        <x:v>-87.30000000000001</x:v>
      </x:c>
      <x:c r="I228" s="46" t="n">
        <x:f>LN((B228+1)/(C228+1))</x:f>
        <x:v>-0.3533198071938243</x:v>
      </x:c>
      <x:c r="J228" t="str">
        <x:f>IF(A228&lt;"1997-06","Antes","Después")</x:f>
        <x:v>Después</x:v>
      </x:c>
      <x:c r="K228" t="str">
        <x:v>51025090</x:v>
      </x:c>
    </x:row>
    <x:row r="229">
      <x:c r="A229" t="str">
        <x:v>2004-10</x:v>
      </x:c>
      <x:c r="B229" s="44" t="n">
        <x:v>161</x:v>
      </x:c>
      <x:c r="C229" s="44" t="n">
        <x:v>159.4</x:v>
      </x:c>
      <x:c r="D229" t="n">
        <x:v>31</x:v>
      </x:c>
      <x:c r="E229" t="n">
        <x:v>29</x:v>
      </x:c>
      <x:c r="F229" s="46" t="n">
        <x:v>100</x:v>
      </x:c>
      <x:c r="G229" s="46" t="n">
        <x:v>93.55</x:v>
      </x:c>
      <x:c r="H229" s="46" t="n">
        <x:f>B229-C229</x:f>
        <x:v>1.5999999999999943</x:v>
      </x:c>
      <x:c r="I229" s="46" t="n">
        <x:f>LN((B229+1)/(C229+1))</x:f>
        <x:v>0.009925639799969998</x:v>
      </x:c>
      <x:c r="J229" t="str">
        <x:f>IF(A229&lt;"1997-06","Antes","Después")</x:f>
        <x:v>Después</x:v>
      </x:c>
      <x:c r="K229" t="str">
        <x:v>51025090</x:v>
      </x:c>
    </x:row>
    <x:row r="230">
      <x:c r="A230" t="str">
        <x:v>2004-11</x:v>
      </x:c>
      <x:c r="B230" s="44" t="n">
        <x:v>191</x:v>
      </x:c>
      <x:c r="C230" s="44" t="n">
        <x:v>65.2</x:v>
      </x:c>
      <x:c r="D230" t="n">
        <x:v>30</x:v>
      </x:c>
      <x:c r="E230" t="n">
        <x:v>30</x:v>
      </x:c>
      <x:c r="F230" s="46" t="n">
        <x:v>100</x:v>
      </x:c>
      <x:c r="G230" s="46" t="n">
        <x:v>100</x:v>
      </x:c>
      <x:c r="H230" s="46" t="n">
        <x:f>B230-C230</x:f>
        <x:v>125.8</x:v>
      </x:c>
      <x:c r="I230" s="46" t="n">
        <x:f>LN((B230+1)/(C230+1))</x:f>
        <x:v>1.064814909084819</x:v>
      </x:c>
      <x:c r="J230" t="str">
        <x:f>IF(A230&lt;"1997-06","Antes","Después")</x:f>
        <x:v>Después</x:v>
      </x:c>
      <x:c r="K230" t="str">
        <x:v>51025090</x:v>
      </x:c>
    </x:row>
    <x:row r="231">
      <x:c r="A231" t="str">
        <x:v>2005-01</x:v>
      </x:c>
      <x:c r="B231" s="44" t="n">
        <x:v>216</x:v>
      </x:c>
      <x:c r="C231" s="44" t="n">
        <x:v>244</x:v>
      </x:c>
      <x:c r="D231" t="n">
        <x:v>31</x:v>
      </x:c>
      <x:c r="E231" t="n">
        <x:v>31</x:v>
      </x:c>
      <x:c r="F231" s="46" t="n">
        <x:v>100</x:v>
      </x:c>
      <x:c r="G231" s="46" t="n">
        <x:v>100</x:v>
      </x:c>
      <x:c r="H231" s="46" t="n">
        <x:f>B231-C231</x:f>
        <x:v>-28</x:v>
      </x:c>
      <x:c r="I231" s="46" t="n">
        <x:f>LN((B231+1)/(C231+1))</x:f>
        <x:v>-0.12136085700426748</x:v>
      </x:c>
      <x:c r="J231" t="str">
        <x:f>IF(A231&lt;"1997-06","Antes","Después")</x:f>
        <x:v>Después</x:v>
      </x:c>
      <x:c r="K231" t="str">
        <x:v>51025090</x:v>
      </x:c>
    </x:row>
    <x:row r="232">
      <x:c r="A232" t="str">
        <x:v>2005-02</x:v>
      </x:c>
      <x:c r="B232" s="44" t="n">
        <x:v>116</x:v>
      </x:c>
      <x:c r="C232" s="44" t="n">
        <x:v>123</x:v>
      </x:c>
      <x:c r="D232" t="n">
        <x:v>28</x:v>
      </x:c>
      <x:c r="E232" t="n">
        <x:v>28</x:v>
      </x:c>
      <x:c r="F232" s="46" t="n">
        <x:v>100</x:v>
      </x:c>
      <x:c r="G232" s="46" t="n">
        <x:v>100</x:v>
      </x:c>
      <x:c r="H232" s="46" t="n">
        <x:f>B232-C232</x:f>
        <x:v>-7</x:v>
      </x:c>
      <x:c r="I232" s="46" t="n">
        <x:f>LN((B232+1)/(C232+1))</x:f>
        <x:v>-0.058107630807280694</x:v>
      </x:c>
      <x:c r="J232" t="str">
        <x:f>IF(A232&lt;"1997-06","Antes","Después")</x:f>
        <x:v>Después</x:v>
      </x:c>
      <x:c r="K232" t="str">
        <x:v>51025090</x:v>
      </x:c>
    </x:row>
    <x:row r="233">
      <x:c r="A233" t="str">
        <x:v>2005-03</x:v>
      </x:c>
      <x:c r="B233" s="44" t="n">
        <x:v>422</x:v>
      </x:c>
      <x:c r="C233" s="44" t="n">
        <x:v>367.4</x:v>
      </x:c>
      <x:c r="D233" t="n">
        <x:v>31</x:v>
      </x:c>
      <x:c r="E233" t="n">
        <x:v>31</x:v>
      </x:c>
      <x:c r="F233" s="46" t="n">
        <x:v>100</x:v>
      </x:c>
      <x:c r="G233" s="46" t="n">
        <x:v>100</x:v>
      </x:c>
      <x:c r="H233" s="46" t="n">
        <x:f>B233-C233</x:f>
        <x:v>54.60000000000002</x:v>
      </x:c>
      <x:c r="I233" s="46" t="n">
        <x:f>LN((B233+1)/(C233+1))</x:f>
        <x:v>0.13820287466512624</x:v>
      </x:c>
      <x:c r="J233" t="str">
        <x:f>IF(A233&lt;"1997-06","Antes","Después")</x:f>
        <x:v>Después</x:v>
      </x:c>
      <x:c r="K233" t="str">
        <x:v>51025090</x:v>
      </x:c>
    </x:row>
    <x:row r="234">
      <x:c r="A234" t="str">
        <x:v>2005-04</x:v>
      </x:c>
      <x:c r="B234" s="44" t="n">
        <x:v>689</x:v>
      </x:c>
      <x:c r="C234" s="44" t="n">
        <x:v>616.9</x:v>
      </x:c>
      <x:c r="D234" t="n">
        <x:v>30</x:v>
      </x:c>
      <x:c r="E234" t="n">
        <x:v>30</x:v>
      </x:c>
      <x:c r="F234" s="46" t="n">
        <x:v>100</x:v>
      </x:c>
      <x:c r="G234" s="46" t="n">
        <x:v>100</x:v>
      </x:c>
      <x:c r="H234" s="46" t="n">
        <x:f>B234-C234</x:f>
        <x:v>72.10000000000002</x:v>
      </x:c>
      <x:c r="I234" s="46" t="n">
        <x:f>LN((B234+1)/(C234+1))</x:f>
        <x:v>0.11036496552437126</x:v>
      </x:c>
      <x:c r="J234" t="str">
        <x:f>IF(A234&lt;"1997-06","Antes","Después")</x:f>
        <x:v>Después</x:v>
      </x:c>
      <x:c r="K234" t="str">
        <x:v>51025090</x:v>
      </x:c>
    </x:row>
    <x:row r="235">
      <x:c r="A235" t="str">
        <x:v>2005-05</x:v>
      </x:c>
      <x:c r="B235" s="44" t="n">
        <x:v>163</x:v>
      </x:c>
      <x:c r="C235" s="44" t="n">
        <x:v>238.3</x:v>
      </x:c>
      <x:c r="D235" t="n">
        <x:v>31</x:v>
      </x:c>
      <x:c r="E235" t="n">
        <x:v>31</x:v>
      </x:c>
      <x:c r="F235" s="46" t="n">
        <x:v>100</x:v>
      </x:c>
      <x:c r="G235" s="46" t="n">
        <x:v>100</x:v>
      </x:c>
      <x:c r="H235" s="46" t="n">
        <x:f>B235-C235</x:f>
        <x:v>-75.30000000000001</x:v>
      </x:c>
      <x:c r="I235" s="46" t="n">
        <x:f>LN((B235+1)/(C235+1))</x:f>
        <x:v>-0.3778515670901292</x:v>
      </x:c>
      <x:c r="J235" t="str">
        <x:f>IF(A235&lt;"1997-06","Antes","Después")</x:f>
        <x:v>Después</x:v>
      </x:c>
      <x:c r="K235" t="str">
        <x:v>51025090</x:v>
      </x:c>
    </x:row>
    <x:row r="236">
      <x:c r="A236" t="str">
        <x:v>2005-06</x:v>
      </x:c>
      <x:c r="B236" s="44" t="n">
        <x:v>92</x:v>
      </x:c>
      <x:c r="C236" s="44" t="n">
        <x:v>99.3</x:v>
      </x:c>
      <x:c r="D236" t="n">
        <x:v>30</x:v>
      </x:c>
      <x:c r="E236" t="n">
        <x:v>30</x:v>
      </x:c>
      <x:c r="F236" s="46" t="n">
        <x:v>100</x:v>
      </x:c>
      <x:c r="G236" s="46" t="n">
        <x:v>100</x:v>
      </x:c>
      <x:c r="H236" s="46" t="n">
        <x:f>B236-C236</x:f>
        <x:v>-7.299999999999997</x:v>
      </x:c>
      <x:c r="I236" s="46" t="n">
        <x:f>LN((B236+1)/(C236+1))</x:f>
        <x:v>-0.0755662018146339</x:v>
      </x:c>
      <x:c r="J236" t="str">
        <x:f>IF(A236&lt;"1997-06","Antes","Después")</x:f>
        <x:v>Después</x:v>
      </x:c>
      <x:c r="K236" t="str">
        <x:v>51025090</x:v>
      </x:c>
    </x:row>
    <x:row r="237">
      <x:c r="A237" t="str">
        <x:v>2005-07</x:v>
      </x:c>
      <x:c r="B237" s="44" t="n">
        <x:v>11</x:v>
      </x:c>
      <x:c r="C237" s="44" t="n">
        <x:v>40.5</x:v>
      </x:c>
      <x:c r="D237" t="n">
        <x:v>31</x:v>
      </x:c>
      <x:c r="E237" t="n">
        <x:v>31</x:v>
      </x:c>
      <x:c r="F237" s="46" t="n">
        <x:v>100</x:v>
      </x:c>
      <x:c r="G237" s="46" t="n">
        <x:v>100</x:v>
      </x:c>
      <x:c r="H237" s="46" t="n">
        <x:f>B237-C237</x:f>
        <x:v>-29.5</x:v>
      </x:c>
      <x:c r="I237" s="46" t="n">
        <x:f>LN((B237+1)/(C237+1))</x:f>
        <x:v>-1.2407867774486523</x:v>
      </x:c>
      <x:c r="J237" t="str">
        <x:f>IF(A237&lt;"1997-06","Antes","Después")</x:f>
        <x:v>Después</x:v>
      </x:c>
      <x:c r="K237" t="str">
        <x:v>51025090</x:v>
      </x:c>
    </x:row>
    <x:row r="238">
      <x:c r="A238" t="str">
        <x:v>2005-08</x:v>
      </x:c>
      <x:c r="B238" s="44" t="n">
        <x:v>44</x:v>
      </x:c>
      <x:c r="C238" s="44" t="n">
        <x:v>27</x:v>
      </x:c>
      <x:c r="D238" t="n">
        <x:v>31</x:v>
      </x:c>
      <x:c r="E238" t="n">
        <x:v>31</x:v>
      </x:c>
      <x:c r="F238" s="46" t="n">
        <x:v>100</x:v>
      </x:c>
      <x:c r="G238" s="46" t="n">
        <x:v>100</x:v>
      </x:c>
      <x:c r="H238" s="46" t="n">
        <x:f>B238-C238</x:f>
        <x:v>17</x:v>
      </x:c>
      <x:c r="I238" s="46" t="n">
        <x:f>LN((B238+1)/(C238+1))</x:f>
        <x:v>0.4744579795951159</x:v>
      </x:c>
      <x:c r="J238" t="str">
        <x:f>IF(A238&lt;"1997-06","Antes","Después")</x:f>
        <x:v>Después</x:v>
      </x:c>
      <x:c r="K238" t="str">
        <x:v>51025090</x:v>
      </x:c>
    </x:row>
    <x:row r="239">
      <x:c r="A239" t="str">
        <x:v>2005-09</x:v>
      </x:c>
      <x:c r="B239" s="44" t="n">
        <x:v>73</x:v>
      </x:c>
      <x:c r="C239" s="44" t="n">
        <x:v>78.7</x:v>
      </x:c>
      <x:c r="D239" t="n">
        <x:v>30</x:v>
      </x:c>
      <x:c r="E239" t="n">
        <x:v>30</x:v>
      </x:c>
      <x:c r="F239" s="46" t="n">
        <x:v>100</x:v>
      </x:c>
      <x:c r="G239" s="46" t="n">
        <x:v>100</x:v>
      </x:c>
      <x:c r="H239" s="46" t="n">
        <x:f>B239-C239</x:f>
        <x:v>-5.700000000000003</x:v>
      </x:c>
      <x:c r="I239" s="46" t="n">
        <x:f>LN((B239+1)/(C239+1))</x:f>
        <x:v>-0.07420449259199968</x:v>
      </x:c>
      <x:c r="J239" t="str">
        <x:f>IF(A239&lt;"1997-06","Antes","Después")</x:f>
        <x:v>Después</x:v>
      </x:c>
      <x:c r="K239" t="str">
        <x:v>51025090</x:v>
      </x:c>
    </x:row>
    <x:row r="240">
      <x:c r="A240" t="str">
        <x:v>2005-10</x:v>
      </x:c>
      <x:c r="B240" s="44" t="n">
        <x:v>14</x:v>
      </x:c>
      <x:c r="C240" s="44" t="n">
        <x:v>19.6</x:v>
      </x:c>
      <x:c r="D240" t="n">
        <x:v>31</x:v>
      </x:c>
      <x:c r="E240" t="n">
        <x:v>31</x:v>
      </x:c>
      <x:c r="F240" s="46" t="n">
        <x:v>100</x:v>
      </x:c>
      <x:c r="G240" s="46" t="n">
        <x:v>100</x:v>
      </x:c>
      <x:c r="H240" s="46" t="n">
        <x:f>B240-C240</x:f>
        <x:v>-5.600000000000001</x:v>
      </x:c>
      <x:c r="I240" s="46" t="n">
        <x:f>LN((B240+1)/(C240+1))</x:f>
        <x:v>-0.31724087469332546</x:v>
      </x:c>
      <x:c r="J240" t="str">
        <x:f>IF(A240&lt;"1997-06","Antes","Después")</x:f>
        <x:v>Después</x:v>
      </x:c>
      <x:c r="K240" t="str">
        <x:v>51025090</x:v>
      </x:c>
    </x:row>
    <x:row r="241">
      <x:c r="A241" t="str">
        <x:v>2005-11</x:v>
      </x:c>
      <x:c r="B241" s="44" t="n">
        <x:v>71</x:v>
      </x:c>
      <x:c r="C241" s="44" t="n">
        <x:v>120</x:v>
      </x:c>
      <x:c r="D241" t="n">
        <x:v>30</x:v>
      </x:c>
      <x:c r="E241" t="n">
        <x:v>30</x:v>
      </x:c>
      <x:c r="F241" s="46" t="n">
        <x:v>100</x:v>
      </x:c>
      <x:c r="G241" s="46" t="n">
        <x:v>100</x:v>
      </x:c>
      <x:c r="H241" s="46" t="n">
        <x:f>B241-C241</x:f>
        <x:v>-49</x:v>
      </x:c>
      <x:c r="I241" s="46" t="n">
        <x:f>LN((B241+1)/(C241+1))</x:f>
        <x:v>-0.5191244265806857</x:v>
      </x:c>
      <x:c r="J241" t="str">
        <x:f>IF(A241&lt;"1997-06","Antes","Después")</x:f>
        <x:v>Después</x:v>
      </x:c>
      <x:c r="K241" t="str">
        <x:v>51025090</x:v>
      </x:c>
    </x:row>
    <x:row r="242">
      <x:c r="A242" t="str">
        <x:v>2005-12</x:v>
      </x:c>
      <x:c r="B242" s="44" t="n">
        <x:v>118</x:v>
      </x:c>
      <x:c r="C242" s="44" t="n">
        <x:v>150.1</x:v>
      </x:c>
      <x:c r="D242" t="n">
        <x:v>31</x:v>
      </x:c>
      <x:c r="E242" t="n">
        <x:v>31</x:v>
      </x:c>
      <x:c r="F242" s="46" t="n">
        <x:v>100</x:v>
      </x:c>
      <x:c r="G242" s="46" t="n">
        <x:v>100</x:v>
      </x:c>
      <x:c r="H242" s="46" t="n">
        <x:f>B242-C242</x:f>
        <x:v>-32.099999999999994</x:v>
      </x:c>
      <x:c r="I242" s="46" t="n">
        <x:f>LN((B242+1)/(C242+1))</x:f>
        <x:v>-0.23881837616716445</x:v>
      </x:c>
      <x:c r="J242" t="str">
        <x:f>IF(A242&lt;"1997-06","Antes","Después")</x:f>
        <x:v>Después</x:v>
      </x:c>
      <x:c r="K242" t="str">
        <x:v>51025090</x:v>
      </x:c>
    </x:row>
    <x:row r="243">
      <x:c r="A243" t="str">
        <x:v>2006-01</x:v>
      </x:c>
      <x:c r="B243" s="44" t="n">
        <x:v>240</x:v>
      </x:c>
      <x:c r="C243" s="44" t="n">
        <x:v>184.1</x:v>
      </x:c>
      <x:c r="D243" t="n">
        <x:v>31</x:v>
      </x:c>
      <x:c r="E243" t="n">
        <x:v>31</x:v>
      </x:c>
      <x:c r="F243" s="46" t="n">
        <x:v>100</x:v>
      </x:c>
      <x:c r="G243" s="46" t="n">
        <x:v>100</x:v>
      </x:c>
      <x:c r="H243" s="46" t="n">
        <x:f>B243-C243</x:f>
        <x:v>55.900000000000006</x:v>
      </x:c>
      <x:c r="I243" s="46" t="n">
        <x:f>LN((B243+1)/(C243+1))</x:f>
        <x:v>0.2639007139112031</x:v>
      </x:c>
      <x:c r="J243" t="str">
        <x:f>IF(A243&lt;"1997-06","Antes","Después")</x:f>
        <x:v>Después</x:v>
      </x:c>
      <x:c r="K243" t="str">
        <x:v>51025090</x:v>
      </x:c>
    </x:row>
    <x:row r="244">
      <x:c r="A244" t="str">
        <x:v>2006-02</x:v>
      </x:c>
      <x:c r="B244" s="44" t="n">
        <x:v>382</x:v>
      </x:c>
      <x:c r="C244" s="44" t="n">
        <x:v>299.9</x:v>
      </x:c>
      <x:c r="D244" t="n">
        <x:v>28</x:v>
      </x:c>
      <x:c r="E244" t="n">
        <x:v>27</x:v>
      </x:c>
      <x:c r="F244" s="46" t="n">
        <x:v>100</x:v>
      </x:c>
      <x:c r="G244" s="46" t="n">
        <x:v>96.43</x:v>
      </x:c>
      <x:c r="H244" s="46" t="n">
        <x:f>B244-C244</x:f>
        <x:v>82.10000000000002</x:v>
      </x:c>
      <x:c r="I244" s="46" t="n">
        <x:f>LN((B244+1)/(C244+1))</x:f>
        <x:v>0.2412570055446465</x:v>
      </x:c>
      <x:c r="J244" t="str">
        <x:f>IF(A244&lt;"1997-06","Antes","Después")</x:f>
        <x:v>Después</x:v>
      </x:c>
      <x:c r="K244" t="str">
        <x:v>51025090</x:v>
      </x:c>
    </x:row>
    <x:row r="245">
      <x:c r="A245" t="str">
        <x:v>2006-03</x:v>
      </x:c>
      <x:c r="B245" s="44" t="n">
        <x:v>341</x:v>
      </x:c>
      <x:c r="C245" s="44" t="n">
        <x:v>174</x:v>
      </x:c>
      <x:c r="D245" t="n">
        <x:v>31</x:v>
      </x:c>
      <x:c r="E245" t="n">
        <x:v>31</x:v>
      </x:c>
      <x:c r="F245" s="46" t="n">
        <x:v>100</x:v>
      </x:c>
      <x:c r="G245" s="46" t="n">
        <x:v>100</x:v>
      </x:c>
      <x:c r="H245" s="46" t="n">
        <x:f>B245-C245</x:f>
        <x:v>167</x:v>
      </x:c>
      <x:c r="I245" s="46" t="n">
        <x:f>LN((B245+1)/(C245+1))</x:f>
        <x:v>0.6700247631390911</x:v>
      </x:c>
      <x:c r="J245" t="str">
        <x:f>IF(A245&lt;"1997-06","Antes","Después")</x:f>
        <x:v>Después</x:v>
      </x:c>
      <x:c r="K245" t="str">
        <x:v>51025090</x:v>
      </x:c>
    </x:row>
    <x:row r="246">
      <x:c r="A246" t="str">
        <x:v>2006-04</x:v>
      </x:c>
      <x:c r="B246" s="44" t="n">
        <x:v>161</x:v>
      </x:c>
      <x:c r="C246" s="44" t="n">
        <x:v>229.4</x:v>
      </x:c>
      <x:c r="D246" t="n">
        <x:v>30</x:v>
      </x:c>
      <x:c r="E246" t="n">
        <x:v>30</x:v>
      </x:c>
      <x:c r="F246" s="46" t="n">
        <x:v>100</x:v>
      </x:c>
      <x:c r="G246" s="46" t="n">
        <x:v>100</x:v>
      </x:c>
      <x:c r="H246" s="46" t="n">
        <x:f>B246-C246</x:f>
        <x:v>-68.4</x:v>
      </x:c>
      <x:c r="I246" s="46" t="n">
        <x:f>LN((B246+1)/(C246+1))</x:f>
        <x:v>-0.3522205935893521</x:v>
      </x:c>
      <x:c r="J246" t="str">
        <x:f>IF(A246&lt;"1997-06","Antes","Después")</x:f>
        <x:v>Después</x:v>
      </x:c>
      <x:c r="K246" t="str">
        <x:v>51025090</x:v>
      </x:c>
    </x:row>
    <x:row r="247">
      <x:c r="A247" t="str">
        <x:v>2006-05</x:v>
      </x:c>
      <x:c r="B247" s="44" t="n">
        <x:v>165</x:v>
      </x:c>
      <x:c r="C247" s="44" t="n">
        <x:v>195.5</x:v>
      </x:c>
      <x:c r="D247" t="n">
        <x:v>29</x:v>
      </x:c>
      <x:c r="E247" t="n">
        <x:v>31</x:v>
      </x:c>
      <x:c r="F247" s="46" t="n">
        <x:v>93.55</x:v>
      </x:c>
      <x:c r="G247" s="46" t="n">
        <x:v>100</x:v>
      </x:c>
      <x:c r="H247" s="46" t="n">
        <x:f>B247-C247</x:f>
        <x:v>-30.5</x:v>
      </x:c>
      <x:c r="I247" s="46" t="n">
        <x:f>LN((B247+1)/(C247+1))</x:f>
        <x:v>-0.16867464295277268</x:v>
      </x:c>
      <x:c r="J247" t="str">
        <x:f>IF(A247&lt;"1997-06","Antes","Después")</x:f>
        <x:v>Después</x:v>
      </x:c>
      <x:c r="K247" t="str">
        <x:v>51025090</x:v>
      </x:c>
    </x:row>
    <x:row r="248">
      <x:c r="A248" t="str">
        <x:v>2006-06</x:v>
      </x:c>
      <x:c r="B248" s="44" t="n">
        <x:v>346</x:v>
      </x:c>
      <x:c r="C248" s="44" t="n">
        <x:v>281</x:v>
      </x:c>
      <x:c r="D248" t="n">
        <x:v>29</x:v>
      </x:c>
      <x:c r="E248" t="n">
        <x:v>30</x:v>
      </x:c>
      <x:c r="F248" s="46" t="n">
        <x:v>96.67</x:v>
      </x:c>
      <x:c r="G248" s="46" t="n">
        <x:v>100</x:v>
      </x:c>
      <x:c r="H248" s="46" t="n">
        <x:f>B248-C248</x:f>
        <x:v>65</x:v>
      </x:c>
      <x:c r="I248" s="46" t="n">
        <x:f>LN((B248+1)/(C248+1))</x:f>
        <x:v>0.20741770900874565</x:v>
      </x:c>
      <x:c r="J248" t="str">
        <x:f>IF(A248&lt;"1997-06","Antes","Después")</x:f>
        <x:v>Después</x:v>
      </x:c>
      <x:c r="K248" t="str">
        <x:v>51025090</x:v>
      </x:c>
    </x:row>
    <x:row r="249">
      <x:c r="A249" t="str">
        <x:v>2006-07</x:v>
      </x:c>
      <x:c r="B249" s="44" t="n">
        <x:v>43</x:v>
      </x:c>
      <x:c r="C249" s="44" t="n">
        <x:v>131.7</x:v>
      </x:c>
      <x:c r="D249" t="n">
        <x:v>31</x:v>
      </x:c>
      <x:c r="E249" t="n">
        <x:v>31</x:v>
      </x:c>
      <x:c r="F249" s="46" t="n">
        <x:v>100</x:v>
      </x:c>
      <x:c r="G249" s="46" t="n">
        <x:v>100</x:v>
      </x:c>
      <x:c r="H249" s="46" t="n">
        <x:f>B249-C249</x:f>
        <x:v>-88.69999999999999</x:v>
      </x:c>
      <x:c r="I249" s="46" t="n">
        <x:f>LN((B249+1)/(C249+1))</x:f>
        <x:v>-1.1039013074199004</x:v>
      </x:c>
      <x:c r="J249" t="str">
        <x:f>IF(A249&lt;"1997-06","Antes","Después")</x:f>
        <x:v>Después</x:v>
      </x:c>
      <x:c r="K249" t="str">
        <x:v>51025090</x:v>
      </x:c>
    </x:row>
    <x:row r="250">
      <x:c r="A250" t="str">
        <x:v>2006-08</x:v>
      </x:c>
      <x:c r="B250" s="44" t="n">
        <x:v>156</x:v>
      </x:c>
      <x:c r="C250" s="44" t="n">
        <x:v>162.2</x:v>
      </x:c>
      <x:c r="D250" t="n">
        <x:v>30</x:v>
      </x:c>
      <x:c r="E250" t="n">
        <x:v>31</x:v>
      </x:c>
      <x:c r="F250" s="46" t="n">
        <x:v>96.77</x:v>
      </x:c>
      <x:c r="G250" s="46" t="n">
        <x:v>100</x:v>
      </x:c>
      <x:c r="H250" s="46" t="n">
        <x:f>B250-C250</x:f>
        <x:v>-6.199999999999989</x:v>
      </x:c>
      <x:c r="I250" s="46" t="n">
        <x:f>LN((B250+1)/(C250+1))</x:f>
        <x:v>-0.03873063718169855</x:v>
      </x:c>
      <x:c r="J250" t="str">
        <x:f>IF(A250&lt;"1997-06","Antes","Después")</x:f>
        <x:v>Después</x:v>
      </x:c>
      <x:c r="K250" t="str">
        <x:v>51025090</x:v>
      </x:c>
    </x:row>
    <x:row r="251">
      <x:c r="A251" t="str">
        <x:v>2006-11</x:v>
      </x:c>
      <x:c r="B251" s="44" t="n">
        <x:v>418</x:v>
      </x:c>
      <x:c r="C251" s="44" t="n">
        <x:v>254</x:v>
      </x:c>
      <x:c r="D251" t="n">
        <x:v>30</x:v>
      </x:c>
      <x:c r="E251" t="n">
        <x:v>30</x:v>
      </x:c>
      <x:c r="F251" s="46" t="n">
        <x:v>100</x:v>
      </x:c>
      <x:c r="G251" s="46" t="n">
        <x:v>100</x:v>
      </x:c>
      <x:c r="H251" s="46" t="n">
        <x:f>B251-C251</x:f>
        <x:v>164</x:v>
      </x:c>
      <x:c r="I251" s="46" t="n">
        <x:f>LN((B251+1)/(C251+1))</x:f>
        <x:v>0.49660737476371153</x:v>
      </x:c>
      <x:c r="J251" t="str">
        <x:f>IF(A251&lt;"1997-06","Antes","Después")</x:f>
        <x:v>Después</x:v>
      </x:c>
      <x:c r="K251" t="str">
        <x:v>51025090</x:v>
      </x:c>
    </x:row>
    <x:row r="252">
      <x:c r="A252" t="str">
        <x:v>2006-12</x:v>
      </x:c>
      <x:c r="B252" s="44" t="n">
        <x:v>46</x:v>
      </x:c>
      <x:c r="C252" s="44" t="n">
        <x:v>161.2</x:v>
      </x:c>
      <x:c r="D252" t="n">
        <x:v>31</x:v>
      </x:c>
      <x:c r="E252" t="n">
        <x:v>31</x:v>
      </x:c>
      <x:c r="F252" s="46" t="n">
        <x:v>100</x:v>
      </x:c>
      <x:c r="G252" s="46" t="n">
        <x:v>100</x:v>
      </x:c>
      <x:c r="H252" s="46" t="n">
        <x:f>B252-C252</x:f>
        <x:v>-115.19999999999999</x:v>
      </x:c>
      <x:c r="I252" s="46" t="n">
        <x:f>LN((B252+1)/(C252+1))</x:f>
        <x:v>-1.2386825399712538</x:v>
      </x:c>
      <x:c r="J252" t="str">
        <x:f>IF(A252&lt;"1997-06","Antes","Después")</x:f>
        <x:v>Después</x:v>
      </x:c>
      <x:c r="K252" t="str">
        <x:v>51025090</x:v>
      </x:c>
    </x:row>
    <x:row r="253">
      <x:c r="A253" t="str">
        <x:v>2007-01</x:v>
      </x:c>
      <x:c r="B253" s="44" t="n">
        <x:v>224</x:v>
      </x:c>
      <x:c r="C253" s="44" t="n">
        <x:v>130.7</x:v>
      </x:c>
      <x:c r="D253" t="n">
        <x:v>31</x:v>
      </x:c>
      <x:c r="E253" t="n">
        <x:v>31</x:v>
      </x:c>
      <x:c r="F253" s="46" t="n">
        <x:v>100</x:v>
      </x:c>
      <x:c r="G253" s="46" t="n">
        <x:v>100</x:v>
      </x:c>
      <x:c r="H253" s="46" t="n">
        <x:f>B253-C253</x:f>
        <x:v>93.30000000000001</x:v>
      </x:c>
      <x:c r="I253" s="46" t="n">
        <x:f>LN((B253+1)/(C253+1))</x:f>
        <x:v>0.5355737934551849</x:v>
      </x:c>
      <x:c r="J253" t="str">
        <x:f>IF(A253&lt;"1997-06","Antes","Después")</x:f>
        <x:v>Después</x:v>
      </x:c>
      <x:c r="K253" t="str">
        <x:v>51025090</x:v>
      </x:c>
    </x:row>
    <x:row r="254">
      <x:c r="A254" t="str">
        <x:v>2007-02</x:v>
      </x:c>
      <x:c r="B254" s="44" t="n">
        <x:v>262</x:v>
      </x:c>
      <x:c r="C254" s="44" t="n">
        <x:v>135.5</x:v>
      </x:c>
      <x:c r="D254" t="n">
        <x:v>28</x:v>
      </x:c>
      <x:c r="E254" t="n">
        <x:v>28</x:v>
      </x:c>
      <x:c r="F254" s="46" t="n">
        <x:v>100</x:v>
      </x:c>
      <x:c r="G254" s="46" t="n">
        <x:v>100</x:v>
      </x:c>
      <x:c r="H254" s="46" t="n">
        <x:f>B254-C254</x:f>
        <x:v>126.5</x:v>
      </x:c>
      <x:c r="I254" s="46" t="n">
        <x:f>LN((B254+1)/(C254+1))</x:f>
        <x:v>0.6558294175527501</x:v>
      </x:c>
      <x:c r="J254" t="str">
        <x:f>IF(A254&lt;"1997-06","Antes","Después")</x:f>
        <x:v>Después</x:v>
      </x:c>
      <x:c r="K254" t="str">
        <x:v>51025090</x:v>
      </x:c>
    </x:row>
    <x:row r="255">
      <x:c r="A255" t="str">
        <x:v>2007-03</x:v>
      </x:c>
      <x:c r="B255" s="44" t="n">
        <x:v>248</x:v>
      </x:c>
      <x:c r="C255" s="44" t="n">
        <x:v>224.5</x:v>
      </x:c>
      <x:c r="D255" t="n">
        <x:v>30</x:v>
      </x:c>
      <x:c r="E255" t="n">
        <x:v>31</x:v>
      </x:c>
      <x:c r="F255" s="46" t="n">
        <x:v>96.77</x:v>
      </x:c>
      <x:c r="G255" s="46" t="n">
        <x:v>100</x:v>
      </x:c>
      <x:c r="H255" s="46" t="n">
        <x:f>B255-C255</x:f>
        <x:v>23.5</x:v>
      </x:c>
      <x:c r="I255" s="46" t="n">
        <x:f>LN((B255+1)/(C255+1))</x:f>
        <x:v>0.0991327375219746</x:v>
      </x:c>
      <x:c r="J255" t="str">
        <x:f>IF(A255&lt;"1997-06","Antes","Después")</x:f>
        <x:v>Después</x:v>
      </x:c>
      <x:c r="K255" t="str">
        <x:v>51025090</x:v>
      </x:c>
    </x:row>
    <x:row r="256">
      <x:c r="A256" t="str">
        <x:v>2007-05</x:v>
      </x:c>
      <x:c r="B256" s="44" t="n">
        <x:v>773</x:v>
      </x:c>
      <x:c r="C256" s="44" t="n">
        <x:v>760.6</x:v>
      </x:c>
      <x:c r="D256" t="n">
        <x:v>31</x:v>
      </x:c>
      <x:c r="E256" t="n">
        <x:v>31</x:v>
      </x:c>
      <x:c r="F256" s="46" t="n">
        <x:v>100</x:v>
      </x:c>
      <x:c r="G256" s="46" t="n">
        <x:v>100</x:v>
      </x:c>
      <x:c r="H256" s="46" t="n">
        <x:f>B256-C256</x:f>
        <x:v>12.399999999999977</x:v>
      </x:c>
      <x:c r="I256" s="46" t="n">
        <x:f>LN((B256+1)/(C256+1))</x:f>
        <x:v>0.0161503901125715</x:v>
      </x:c>
      <x:c r="J256" t="str">
        <x:f>IF(A256&lt;"1997-06","Antes","Después")</x:f>
        <x:v>Después</x:v>
      </x:c>
      <x:c r="K256" t="str">
        <x:v>51025090</x:v>
      </x:c>
    </x:row>
    <x:row r="257">
      <x:c r="A257" t="str">
        <x:v>2007-06</x:v>
      </x:c>
      <x:c r="B257" s="44" t="n">
        <x:v>480</x:v>
      </x:c>
      <x:c r="C257" s="44" t="n">
        <x:v>383.5</x:v>
      </x:c>
      <x:c r="D257" t="n">
        <x:v>30</x:v>
      </x:c>
      <x:c r="E257" t="n">
        <x:v>30</x:v>
      </x:c>
      <x:c r="F257" s="46" t="n">
        <x:v>100</x:v>
      </x:c>
      <x:c r="G257" s="46" t="n">
        <x:v>100</x:v>
      </x:c>
      <x:c r="H257" s="46" t="n">
        <x:f>B257-C257</x:f>
        <x:v>96.5</x:v>
      </x:c>
      <x:c r="I257" s="46" t="n">
        <x:f>LN((B257+1)/(C257+1))</x:f>
        <x:v>0.22392348116006258</x:v>
      </x:c>
      <x:c r="J257" t="str">
        <x:f>IF(A257&lt;"1997-06","Antes","Después")</x:f>
        <x:v>Después</x:v>
      </x:c>
      <x:c r="K257" t="str">
        <x:v>51025090</x:v>
      </x:c>
    </x:row>
    <x:row r="258">
      <x:c r="A258" t="str">
        <x:v>2007-07</x:v>
      </x:c>
      <x:c r="B258" s="44" t="n">
        <x:v>151</x:v>
      </x:c>
      <x:c r="C258" s="44" t="n">
        <x:v>190</x:v>
      </x:c>
      <x:c r="D258" t="n">
        <x:v>31</x:v>
      </x:c>
      <x:c r="E258" t="n">
        <x:v>31</x:v>
      </x:c>
      <x:c r="F258" s="46" t="n">
        <x:v>100</x:v>
      </x:c>
      <x:c r="G258" s="46" t="n">
        <x:v>100</x:v>
      </x:c>
      <x:c r="H258" s="46" t="n">
        <x:f>B258-C258</x:f>
        <x:v>-39</x:v>
      </x:c>
      <x:c r="I258" s="46" t="n">
        <x:f>LN((B258+1)/(C258+1))</x:f>
        <x:v>-0.22839290720035355</x:v>
      </x:c>
      <x:c r="J258" t="str">
        <x:f>IF(A258&lt;"1997-06","Antes","Después")</x:f>
        <x:v>Después</x:v>
      </x:c>
      <x:c r="K258" t="str">
        <x:v>51025090</x:v>
      </x:c>
    </x:row>
    <x:row r="259">
      <x:c r="A259" t="str">
        <x:v>2007-08</x:v>
      </x:c>
      <x:c r="B259" s="44" t="n">
        <x:v>140</x:v>
      </x:c>
      <x:c r="C259" s="44" t="n">
        <x:v>125</x:v>
      </x:c>
      <x:c r="D259" t="n">
        <x:v>31</x:v>
      </x:c>
      <x:c r="E259" t="n">
        <x:v>31</x:v>
      </x:c>
      <x:c r="F259" s="46" t="n">
        <x:v>100</x:v>
      </x:c>
      <x:c r="G259" s="46" t="n">
        <x:v>100</x:v>
      </x:c>
      <x:c r="H259" s="46" t="n">
        <x:f>B259-C259</x:f>
        <x:v>15</x:v>
      </x:c>
      <x:c r="I259" s="46" t="n">
        <x:f>LN((B259+1)/(C259+1))</x:f>
        <x:v>0.1124779834266903</x:v>
      </x:c>
      <x:c r="J259" t="str">
        <x:f>IF(A259&lt;"1997-06","Antes","Después")</x:f>
        <x:v>Después</x:v>
      </x:c>
      <x:c r="K259" t="str">
        <x:v>51025090</x:v>
      </x:c>
    </x:row>
    <x:row r="260">
      <x:c r="A260" t="str">
        <x:v>2007-09</x:v>
      </x:c>
      <x:c r="B260" s="44" t="n">
        <x:v>95</x:v>
      </x:c>
      <x:c r="C260" s="44" t="n">
        <x:v>112</x:v>
      </x:c>
      <x:c r="D260" t="n">
        <x:v>30</x:v>
      </x:c>
      <x:c r="E260" t="n">
        <x:v>30</x:v>
      </x:c>
      <x:c r="F260" s="46" t="n">
        <x:v>100</x:v>
      </x:c>
      <x:c r="G260" s="46" t="n">
        <x:v>100</x:v>
      </x:c>
      <x:c r="H260" s="46" t="n">
        <x:f>B260-C260</x:f>
        <x:v>-17</x:v>
      </x:c>
      <x:c r="I260" s="46" t="n">
        <x:f>LN((B260+1)/(C260+1))</x:f>
        <x:v>-0.16303962724450435</x:v>
      </x:c>
      <x:c r="J260" t="str">
        <x:f>IF(A260&lt;"1997-06","Antes","Después")</x:f>
        <x:v>Después</x:v>
      </x:c>
      <x:c r="K260" t="str">
        <x:v>51025090</x:v>
      </x:c>
    </x:row>
    <x:row r="261">
      <x:c r="A261" t="str">
        <x:v>2007-10</x:v>
      </x:c>
      <x:c r="B261" s="44" t="n">
        <x:v>65</x:v>
      </x:c>
      <x:c r="C261" s="44" t="n">
        <x:v>116.7</x:v>
      </x:c>
      <x:c r="D261" t="n">
        <x:v>31</x:v>
      </x:c>
      <x:c r="E261" t="n">
        <x:v>31</x:v>
      </x:c>
      <x:c r="F261" s="46" t="n">
        <x:v>100</x:v>
      </x:c>
      <x:c r="G261" s="46" t="n">
        <x:v>100</x:v>
      </x:c>
      <x:c r="H261" s="46" t="n">
        <x:f>B261-C261</x:f>
        <x:v>-51.7</x:v>
      </x:c>
      <x:c r="I261" s="46" t="n">
        <x:f>LN((B261+1)/(C261+1))</x:f>
        <x:v>-0.5784842722398056</x:v>
      </x:c>
      <x:c r="J261" t="str">
        <x:f>IF(A261&lt;"1997-06","Antes","Después")</x:f>
        <x:v>Después</x:v>
      </x:c>
      <x:c r="K261" t="str">
        <x:v>51025090</x:v>
      </x:c>
    </x:row>
    <x:row r="262">
      <x:c r="A262" t="str">
        <x:v>2007-11</x:v>
      </x:c>
      <x:c r="B262" s="44" t="n">
        <x:v>88</x:v>
      </x:c>
      <x:c r="C262" s="44" t="n">
        <x:v>76</x:v>
      </x:c>
      <x:c r="D262" t="n">
        <x:v>30</x:v>
      </x:c>
      <x:c r="E262" t="n">
        <x:v>30</x:v>
      </x:c>
      <x:c r="F262" s="46" t="n">
        <x:v>100</x:v>
      </x:c>
      <x:c r="G262" s="46" t="n">
        <x:v>100</x:v>
      </x:c>
      <x:c r="H262" s="46" t="n">
        <x:f>B262-C262</x:f>
        <x:v>12</x:v>
      </x:c>
      <x:c r="I262" s="46" t="n">
        <x:f>LN((B262+1)/(C262+1))</x:f>
        <x:v>0.14483094787845605</x:v>
      </x:c>
      <x:c r="J262" t="str">
        <x:f>IF(A262&lt;"1997-06","Antes","Después")</x:f>
        <x:v>Después</x:v>
      </x:c>
      <x:c r="K262" t="str">
        <x:v>51025090</x:v>
      </x:c>
    </x:row>
    <x:row r="263">
      <x:c r="A263" t="str">
        <x:v>2007-12</x:v>
      </x:c>
      <x:c r="B263" s="44" t="n">
        <x:v>71</x:v>
      </x:c>
      <x:c r="C263" s="44" t="n">
        <x:v>238.2</x:v>
      </x:c>
      <x:c r="D263" t="n">
        <x:v>31</x:v>
      </x:c>
      <x:c r="E263" t="n">
        <x:v>31</x:v>
      </x:c>
      <x:c r="F263" s="46" t="n">
        <x:v>100</x:v>
      </x:c>
      <x:c r="G263" s="46" t="n">
        <x:v>100</x:v>
      </x:c>
      <x:c r="H263" s="46" t="n">
        <x:f>B263-C263</x:f>
        <x:v>-167.2</x:v>
      </x:c>
      <x:c r="I263" s="46" t="n">
        <x:f>LN((B263+1)/(C263+1))</x:f>
        <x:v>-1.2006339030604214</x:v>
      </x:c>
      <x:c r="J263" t="str">
        <x:f>IF(A263&lt;"1997-06","Antes","Después")</x:f>
        <x:v>Después</x:v>
      </x:c>
      <x:c r="K263" t="str">
        <x:v>51025090</x:v>
      </x:c>
    </x:row>
    <x:row r="264">
      <x:c r="A264" t="str">
        <x:v>2008-02</x:v>
      </x:c>
      <x:c r="B264" s="44" t="n">
        <x:v>332</x:v>
      </x:c>
      <x:c r="C264" s="44" t="n">
        <x:v>258.7</x:v>
      </x:c>
      <x:c r="D264" t="n">
        <x:v>29</x:v>
      </x:c>
      <x:c r="E264" t="n">
        <x:v>29</x:v>
      </x:c>
      <x:c r="F264" s="46" t="n">
        <x:v>100</x:v>
      </x:c>
      <x:c r="G264" s="46" t="n">
        <x:v>100</x:v>
      </x:c>
      <x:c r="H264" s="46" t="n">
        <x:f>B264-C264</x:f>
        <x:v>73.30000000000001</x:v>
      </x:c>
      <x:c r="I264" s="46" t="n">
        <x:f>LN((B264+1)/(C264+1))</x:f>
        <x:v>0.2486153713117412</x:v>
      </x:c>
      <x:c r="J264" t="str">
        <x:f>IF(A264&lt;"1997-06","Antes","Después")</x:f>
        <x:v>Después</x:v>
      </x:c>
      <x:c r="K264" t="str">
        <x:v>51025090</x:v>
      </x:c>
    </x:row>
    <x:row r="265">
      <x:c r="A265" t="str">
        <x:v>2008-03</x:v>
      </x:c>
      <x:c r="B265" s="44" t="n">
        <x:v>230</x:v>
      </x:c>
      <x:c r="C265" s="44" t="n">
        <x:v>257.6</x:v>
      </x:c>
      <x:c r="D265" t="n">
        <x:v>31</x:v>
      </x:c>
      <x:c r="E265" t="n">
        <x:v>31</x:v>
      </x:c>
      <x:c r="F265" s="46" t="n">
        <x:v>100</x:v>
      </x:c>
      <x:c r="G265" s="46" t="n">
        <x:v>100</x:v>
      </x:c>
      <x:c r="H265" s="46" t="n">
        <x:f>B265-C265</x:f>
        <x:v>-27.600000000000023</x:v>
      </x:c>
      <x:c r="I265" s="46" t="n">
        <x:f>LN((B265+1)/(C265+1))</x:f>
        <x:v>-0.11286475581596365</x:v>
      </x:c>
      <x:c r="J265" t="str">
        <x:f>IF(A265&lt;"1997-06","Antes","Después")</x:f>
        <x:v>Después</x:v>
      </x:c>
      <x:c r="K265" t="str">
        <x:v>51025090</x:v>
      </x:c>
    </x:row>
    <x:row r="266">
      <x:c r="A266" t="str">
        <x:v>2008-04</x:v>
      </x:c>
      <x:c r="B266" s="44" t="n">
        <x:v>237</x:v>
      </x:c>
      <x:c r="C266" s="44" t="n">
        <x:v>150.4</x:v>
      </x:c>
      <x:c r="D266" t="n">
        <x:v>30</x:v>
      </x:c>
      <x:c r="E266" t="n">
        <x:v>30</x:v>
      </x:c>
      <x:c r="F266" s="46" t="n">
        <x:v>100</x:v>
      </x:c>
      <x:c r="G266" s="46" t="n">
        <x:v>100</x:v>
      </x:c>
      <x:c r="H266" s="46" t="n">
        <x:f>B266-C266</x:f>
        <x:v>86.6</x:v>
      </x:c>
      <x:c r="I266" s="46" t="n">
        <x:f>LN((B266+1)/(C266+1))</x:f>
        <x:v>0.4523453326681262</x:v>
      </x:c>
      <x:c r="J266" t="str">
        <x:f>IF(A266&lt;"1997-06","Antes","Después")</x:f>
        <x:v>Después</x:v>
      </x:c>
      <x:c r="K266" t="str">
        <x:v>51025090</x:v>
      </x:c>
    </x:row>
    <x:row r="267">
      <x:c r="A267" t="str">
        <x:v>2008-05</x:v>
      </x:c>
      <x:c r="B267" s="44" t="n">
        <x:v>463</x:v>
      </x:c>
      <x:c r="C267" s="44" t="n">
        <x:v>297.2</x:v>
      </x:c>
      <x:c r="D267" t="n">
        <x:v>31</x:v>
      </x:c>
      <x:c r="E267" t="n">
        <x:v>31</x:v>
      </x:c>
      <x:c r="F267" s="46" t="n">
        <x:v>100</x:v>
      </x:c>
      <x:c r="G267" s="46" t="n">
        <x:v>100</x:v>
      </x:c>
      <x:c r="H267" s="46" t="n">
        <x:f>B267-C267</x:f>
        <x:v>165.8</x:v>
      </x:c>
      <x:c r="I267" s="46" t="n">
        <x:f>LN((B267+1)/(C267+1))</x:f>
        <x:v>0.4421201498956173</x:v>
      </x:c>
      <x:c r="J267" t="str">
        <x:f>IF(A267&lt;"1997-06","Antes","Después")</x:f>
        <x:v>Después</x:v>
      </x:c>
      <x:c r="K267" t="str">
        <x:v>51025090</x:v>
      </x:c>
    </x:row>
    <x:row r="268">
      <x:c r="A268" t="str">
        <x:v>2008-06</x:v>
      </x:c>
      <x:c r="B268" s="44" t="n">
        <x:v>286</x:v>
      </x:c>
      <x:c r="C268" s="44" t="n">
        <x:v>278.5</x:v>
      </x:c>
      <x:c r="D268" t="n">
        <x:v>30</x:v>
      </x:c>
      <x:c r="E268" t="n">
        <x:v>30</x:v>
      </x:c>
      <x:c r="F268" s="46" t="n">
        <x:v>100</x:v>
      </x:c>
      <x:c r="G268" s="46" t="n">
        <x:v>100</x:v>
      </x:c>
      <x:c r="H268" s="46" t="n">
        <x:f>B268-C268</x:f>
        <x:v>7.5</x:v>
      </x:c>
      <x:c r="I268" s="46" t="n">
        <x:f>LN((B268+1)/(C268+1))</x:f>
        <x:v>0.02647992316446732</x:v>
      </x:c>
      <x:c r="J268" t="str">
        <x:f>IF(A268&lt;"1997-06","Antes","Después")</x:f>
        <x:v>Después</x:v>
      </x:c>
      <x:c r="K268" t="str">
        <x:v>51025090</x:v>
      </x:c>
    </x:row>
    <x:row r="269">
      <x:c r="A269" t="str">
        <x:v>2008-10</x:v>
      </x:c>
      <x:c r="B269" s="44" t="n">
        <x:v>413</x:v>
      </x:c>
      <x:c r="C269" s="44" t="n">
        <x:v>272</x:v>
      </x:c>
      <x:c r="D269" t="n">
        <x:v>31</x:v>
      </x:c>
      <x:c r="E269" t="n">
        <x:v>30</x:v>
      </x:c>
      <x:c r="F269" s="46" t="n">
        <x:v>100</x:v>
      </x:c>
      <x:c r="G269" s="46" t="n">
        <x:v>96.77</x:v>
      </x:c>
      <x:c r="H269" s="46" t="n">
        <x:f>B269-C269</x:f>
        <x:v>141</x:v>
      </x:c>
      <x:c r="I269" s="46" t="n">
        <x:f>LN((B269+1)/(C269+1))</x:f>
        <x:v>0.4163941786403546</x:v>
      </x:c>
      <x:c r="J269" t="str">
        <x:f>IF(A269&lt;"1997-06","Antes","Después")</x:f>
        <x:v>Después</x:v>
      </x:c>
      <x:c r="K269" t="str">
        <x:v>51025090</x:v>
      </x:c>
    </x:row>
    <x:row r="270">
      <x:c r="A270" t="str">
        <x:v>2008-11</x:v>
      </x:c>
      <x:c r="B270" s="44" t="n">
        <x:v>121</x:v>
      </x:c>
      <x:c r="C270" s="44" t="n">
        <x:v>67.2</x:v>
      </x:c>
      <x:c r="D270" t="n">
        <x:v>30</x:v>
      </x:c>
      <x:c r="E270" t="n">
        <x:v>30</x:v>
      </x:c>
      <x:c r="F270" s="46" t="n">
        <x:v>100</x:v>
      </x:c>
      <x:c r="G270" s="46" t="n">
        <x:v>100</x:v>
      </x:c>
      <x:c r="H270" s="46" t="n">
        <x:f>B270-C270</x:f>
        <x:v>53.8</x:v>
      </x:c>
      <x:c r="I270" s="46" t="n">
        <x:f>LN((B270+1)/(C270+1))</x:f>
        <x:v>0.5815764798838401</x:v>
      </x:c>
      <x:c r="J270" t="str">
        <x:f>IF(A270&lt;"1997-06","Antes","Después")</x:f>
        <x:v>Después</x:v>
      </x:c>
      <x:c r="K270" t="str">
        <x:v>51025090</x:v>
      </x:c>
    </x:row>
    <x:row r="271">
      <x:c r="A271" t="str">
        <x:v>2008-12</x:v>
      </x:c>
      <x:c r="B271" s="44" t="n">
        <x:v>84</x:v>
      </x:c>
      <x:c r="C271" s="44" t="n">
        <x:v>80.5</x:v>
      </x:c>
      <x:c r="D271" t="n">
        <x:v>31</x:v>
      </x:c>
      <x:c r="E271" t="n">
        <x:v>31</x:v>
      </x:c>
      <x:c r="F271" s="46" t="n">
        <x:v>100</x:v>
      </x:c>
      <x:c r="G271" s="46" t="n">
        <x:v>100</x:v>
      </x:c>
      <x:c r="H271" s="46" t="n">
        <x:f>B271-C271</x:f>
        <x:v>3.5</x:v>
      </x:c>
      <x:c r="I271" s="46" t="n">
        <x:f>LN((B271+1)/(C271+1))</x:f>
        <x:v>0.042048236243499404</x:v>
      </x:c>
      <x:c r="J271" t="str">
        <x:f>IF(A271&lt;"1997-06","Antes","Después")</x:f>
        <x:v>Después</x:v>
      </x:c>
      <x:c r="K271" t="str">
        <x:v>51025090</x:v>
      </x:c>
    </x:row>
    <x:row r="272">
      <x:c r="A272" t="str">
        <x:v>2009-01</x:v>
      </x:c>
      <x:c r="B272" s="44" t="n">
        <x:v>78</x:v>
      </x:c>
      <x:c r="C272" s="44" t="n">
        <x:v>151.1</x:v>
      </x:c>
      <x:c r="D272" t="n">
        <x:v>31</x:v>
      </x:c>
      <x:c r="E272" t="n">
        <x:v>31</x:v>
      </x:c>
      <x:c r="F272" s="46" t="n">
        <x:v>100</x:v>
      </x:c>
      <x:c r="G272" s="46" t="n">
        <x:v>100</x:v>
      </x:c>
      <x:c r="H272" s="46" t="n">
        <x:f>B272-C272</x:f>
        <x:v>-73.1</x:v>
      </x:c>
      <x:c r="I272" s="46" t="n">
        <x:f>LN((B272+1)/(C272+1))</x:f>
        <x:v>-0.6550903467982256</x:v>
      </x:c>
      <x:c r="J272" t="str">
        <x:f>IF(A272&lt;"1997-06","Antes","Después")</x:f>
        <x:v>Después</x:v>
      </x:c>
      <x:c r="K272" t="str">
        <x:v>51025090</x:v>
      </x:c>
    </x:row>
    <x:row r="273">
      <x:c r="A273" t="str">
        <x:v>2009-02</x:v>
      </x:c>
      <x:c r="B273" s="44" t="n">
        <x:v>38</x:v>
      </x:c>
      <x:c r="C273" s="44" t="n">
        <x:v>188</x:v>
      </x:c>
      <x:c r="D273" t="n">
        <x:v>28</x:v>
      </x:c>
      <x:c r="E273" t="n">
        <x:v>27</x:v>
      </x:c>
      <x:c r="F273" s="46" t="n">
        <x:v>100</x:v>
      </x:c>
      <x:c r="G273" s="46" t="n">
        <x:v>96.43</x:v>
      </x:c>
      <x:c r="H273" s="46" t="n">
        <x:f>B273-C273</x:f>
        <x:v>-150</x:v>
      </x:c>
      <x:c r="I273" s="46" t="n">
        <x:f>LN((B273+1)/(C273+1))</x:f>
        <x:v>-1.578185368929996</x:v>
      </x:c>
      <x:c r="J273" t="str">
        <x:f>IF(A273&lt;"1997-06","Antes","Después")</x:f>
        <x:v>Después</x:v>
      </x:c>
      <x:c r="K273" t="str">
        <x:v>51025090</x:v>
      </x:c>
    </x:row>
    <x:row r="274">
      <x:c r="A274" t="str">
        <x:v>2009-03</x:v>
      </x:c>
      <x:c r="B274" s="44" t="n">
        <x:v>119</x:v>
      </x:c>
      <x:c r="C274" s="44" t="n">
        <x:v>162.3</x:v>
      </x:c>
      <x:c r="D274" t="n">
        <x:v>31</x:v>
      </x:c>
      <x:c r="E274" t="n">
        <x:v>31</x:v>
      </x:c>
      <x:c r="F274" s="46" t="n">
        <x:v>100</x:v>
      </x:c>
      <x:c r="G274" s="46" t="n">
        <x:v>100</x:v>
      </x:c>
      <x:c r="H274" s="46" t="n">
        <x:f>B274-C274</x:f>
        <x:v>-43.30000000000001</x:v>
      </x:c>
      <x:c r="I274" s="46" t="n">
        <x:f>LN((B274+1)/(C274+1))</x:f>
        <x:v>-0.3080972571943735</x:v>
      </x:c>
      <x:c r="J274" t="str">
        <x:f>IF(A274&lt;"1997-06","Antes","Después")</x:f>
        <x:v>Después</x:v>
      </x:c>
      <x:c r="K274" t="str">
        <x:v>51025090</x:v>
      </x:c>
    </x:row>
    <x:row r="275">
      <x:c r="A275" t="str">
        <x:v>2009-04</x:v>
      </x:c>
      <x:c r="B275" s="44" t="n">
        <x:v>234</x:v>
      </x:c>
      <x:c r="C275" s="44" t="n">
        <x:v>170.6</x:v>
      </x:c>
      <x:c r="D275" t="n">
        <x:v>30</x:v>
      </x:c>
      <x:c r="E275" t="n">
        <x:v>30</x:v>
      </x:c>
      <x:c r="F275" s="46" t="n">
        <x:v>100</x:v>
      </x:c>
      <x:c r="G275" s="46" t="n">
        <x:v>100</x:v>
      </x:c>
      <x:c r="H275" s="46" t="n">
        <x:f>B275-C275</x:f>
        <x:v>63.400000000000006</x:v>
      </x:c>
      <x:c r="I275" s="46" t="n">
        <x:f>LN((B275+1)/(C275+1))</x:f>
        <x:v>0.314419327090297</x:v>
      </x:c>
      <x:c r="J275" t="str">
        <x:f>IF(A275&lt;"1997-06","Antes","Después")</x:f>
        <x:v>Después</x:v>
      </x:c>
      <x:c r="K275" t="str">
        <x:v>51025090</x:v>
      </x:c>
    </x:row>
    <x:row r="276">
      <x:c r="A276" t="str">
        <x:v>2009-06</x:v>
      </x:c>
      <x:c r="B276" s="44" t="n">
        <x:v>192</x:v>
      </x:c>
      <x:c r="C276" s="44" t="n">
        <x:v>97.5</x:v>
      </x:c>
      <x:c r="D276" t="n">
        <x:v>30</x:v>
      </x:c>
      <x:c r="E276" t="n">
        <x:v>30</x:v>
      </x:c>
      <x:c r="F276" s="46" t="n">
        <x:v>100</x:v>
      </x:c>
      <x:c r="G276" s="46" t="n">
        <x:v>100</x:v>
      </x:c>
      <x:c r="H276" s="46" t="n">
        <x:f>B276-C276</x:f>
        <x:v>94.5</x:v>
      </x:c>
      <x:c r="I276" s="46" t="n">
        <x:f>LN((B276+1)/(C276+1))</x:f>
        <x:v>0.6726336407268424</x:v>
      </x:c>
      <x:c r="J276" t="str">
        <x:f>IF(A276&lt;"1997-06","Antes","Después")</x:f>
        <x:v>Después</x:v>
      </x:c>
      <x:c r="K276" t="str">
        <x:v>51025090</x:v>
      </x:c>
    </x:row>
    <x:row r="277">
      <x:c r="A277" t="str">
        <x:v>2009-07</x:v>
      </x:c>
      <x:c r="B277" s="44" t="n">
        <x:v>233</x:v>
      </x:c>
      <x:c r="C277" s="44" t="n">
        <x:v>199</x:v>
      </x:c>
      <x:c r="D277" t="n">
        <x:v>31</x:v>
      </x:c>
      <x:c r="E277" t="n">
        <x:v>30</x:v>
      </x:c>
      <x:c r="F277" s="46" t="n">
        <x:v>100</x:v>
      </x:c>
      <x:c r="G277" s="46" t="n">
        <x:v>96.77</x:v>
      </x:c>
      <x:c r="H277" s="46" t="n">
        <x:f>B277-C277</x:f>
        <x:v>34</x:v>
      </x:c>
      <x:c r="I277" s="46" t="n">
        <x:f>LN((B277+1)/(C277+1))</x:f>
        <x:v>0.1570037488096647</x:v>
      </x:c>
      <x:c r="J277" t="str">
        <x:f>IF(A277&lt;"1997-06","Antes","Después")</x:f>
        <x:v>Después</x:v>
      </x:c>
      <x:c r="K277" t="str">
        <x:v>51025090</x:v>
      </x:c>
    </x:row>
    <x:row r="278">
      <x:c r="A278" t="str">
        <x:v>2009-08</x:v>
      </x:c>
      <x:c r="B278" s="44" t="n">
        <x:v>209</x:v>
      </x:c>
      <x:c r="C278" s="44" t="n">
        <x:v>181</x:v>
      </x:c>
      <x:c r="D278" t="n">
        <x:v>30</x:v>
      </x:c>
      <x:c r="E278" t="n">
        <x:v>31</x:v>
      </x:c>
      <x:c r="F278" s="46" t="n">
        <x:v>96.77</x:v>
      </x:c>
      <x:c r="G278" s="46" t="n">
        <x:v>100</x:v>
      </x:c>
      <x:c r="H278" s="46" t="n">
        <x:f>B278-C278</x:f>
        <x:v>28</x:v>
      </x:c>
      <x:c r="I278" s="46" t="n">
        <x:f>LN((B278+1)/(C278+1))</x:f>
        <x:v>0.14310084364067324</x:v>
      </x:c>
      <x:c r="J278" t="str">
        <x:f>IF(A278&lt;"1997-06","Antes","Después")</x:f>
        <x:v>Después</x:v>
      </x:c>
      <x:c r="K278" t="str">
        <x:v>51025090</x:v>
      </x:c>
    </x:row>
    <x:row r="279">
      <x:c r="A279" t="str">
        <x:v>2009-09</x:v>
      </x:c>
      <x:c r="B279" s="44" t="n">
        <x:v>2</x:v>
      </x:c>
      <x:c r="C279" s="44" t="n">
        <x:v>32.1</x:v>
      </x:c>
      <x:c r="D279" t="n">
        <x:v>30</x:v>
      </x:c>
      <x:c r="E279" t="n">
        <x:v>30</x:v>
      </x:c>
      <x:c r="F279" s="46" t="n">
        <x:v>100</x:v>
      </x:c>
      <x:c r="G279" s="46" t="n">
        <x:v>100</x:v>
      </x:c>
      <x:c r="H279" s="46" t="n">
        <x:f>B279-C279</x:f>
        <x:v>-30.1</x:v>
      </x:c>
      <x:c r="I279" s="46" t="n">
        <x:f>LN((B279+1)/(C279+1))</x:f>
        <x:v>-2.4009209937149074</x:v>
      </x:c>
      <x:c r="J279" t="str">
        <x:f>IF(A279&lt;"1997-06","Antes","Después")</x:f>
        <x:v>Después</x:v>
      </x:c>
      <x:c r="K279" t="str">
        <x:v>51025090</x:v>
      </x:c>
    </x:row>
    <x:row r="280">
      <x:c r="A280" t="str">
        <x:v>2009-10</x:v>
      </x:c>
      <x:c r="B280" s="44" t="n">
        <x:v>26</x:v>
      </x:c>
      <x:c r="C280" s="44" t="n">
        <x:v>29.8</x:v>
      </x:c>
      <x:c r="D280" t="n">
        <x:v>31</x:v>
      </x:c>
      <x:c r="E280" t="n">
        <x:v>31</x:v>
      </x:c>
      <x:c r="F280" s="46" t="n">
        <x:v>100</x:v>
      </x:c>
      <x:c r="G280" s="46" t="n">
        <x:v>100</x:v>
      </x:c>
      <x:c r="H280" s="46" t="n">
        <x:f>B280-C280</x:f>
        <x:v>-3.8000000000000007</x:v>
      </x:c>
      <x:c r="I280" s="46" t="n">
        <x:f>LN((B280+1)/(C280+1))</x:f>
        <x:v>-0.1316778239751997</x:v>
      </x:c>
      <x:c r="J280" t="str">
        <x:f>IF(A280&lt;"1997-06","Antes","Después")</x:f>
        <x:v>Después</x:v>
      </x:c>
      <x:c r="K280" t="str">
        <x:v>51025090</x:v>
      </x:c>
    </x:row>
    <x:row r="281">
      <x:c r="A281" t="str">
        <x:v>2009-11</x:v>
      </x:c>
      <x:c r="B281" s="44" t="n">
        <x:v>28</x:v>
      </x:c>
      <x:c r="C281" s="44" t="n">
        <x:v>32.2</x:v>
      </x:c>
      <x:c r="D281" t="n">
        <x:v>30</x:v>
      </x:c>
      <x:c r="E281" t="n">
        <x:v>30</x:v>
      </x:c>
      <x:c r="F281" s="46" t="n">
        <x:v>100</x:v>
      </x:c>
      <x:c r="G281" s="46" t="n">
        <x:v>100</x:v>
      </x:c>
      <x:c r="H281" s="46" t="n">
        <x:f>B281-C281</x:f>
        <x:v>-4.200000000000003</x:v>
      </x:c>
      <x:c r="I281" s="46" t="n">
        <x:f>LN((B281+1)/(C281+1))</x:f>
        <x:v>-0.135254045935969</x:v>
      </x:c>
      <x:c r="J281" t="str">
        <x:f>IF(A281&lt;"1997-06","Antes","Después")</x:f>
        <x:v>Después</x:v>
      </x:c>
      <x:c r="K281" t="str">
        <x:v>51025090</x:v>
      </x:c>
    </x:row>
    <x:row r="282">
      <x:c r="A282" t="str">
        <x:v>2009-12</x:v>
      </x:c>
      <x:c r="B282" s="44" t="n">
        <x:v>211</x:v>
      </x:c>
      <x:c r="C282" s="44" t="n">
        <x:v>256.2</x:v>
      </x:c>
      <x:c r="D282" t="n">
        <x:v>31</x:v>
      </x:c>
      <x:c r="E282" t="n">
        <x:v>31</x:v>
      </x:c>
      <x:c r="F282" s="46" t="n">
        <x:v>100</x:v>
      </x:c>
      <x:c r="G282" s="46" t="n">
        <x:v>100</x:v>
      </x:c>
      <x:c r="H282" s="46" t="n">
        <x:f>B282-C282</x:f>
        <x:v>-45.19999999999999</x:v>
      </x:c>
      <x:c r="I282" s="46" t="n">
        <x:f>LN((B282+1)/(C282+1))</x:f>
        <x:v>-0.19326771769145185</x:v>
      </x:c>
      <x:c r="J282" t="str">
        <x:f>IF(A282&lt;"1997-06","Antes","Después")</x:f>
        <x:v>Después</x:v>
      </x:c>
      <x:c r="K282" t="str">
        <x:v>51025090</x:v>
      </x:c>
    </x:row>
    <x:row r="283">
      <x:c r="A283" t="str">
        <x:v>2010-01</x:v>
      </x:c>
      <x:c r="B283" s="44" t="n">
        <x:v>243</x:v>
      </x:c>
      <x:c r="C283" s="44" t="n">
        <x:v>298.5</x:v>
      </x:c>
      <x:c r="D283" t="n">
        <x:v>31</x:v>
      </x:c>
      <x:c r="E283" t="n">
        <x:v>31</x:v>
      </x:c>
      <x:c r="F283" s="46" t="n">
        <x:v>100</x:v>
      </x:c>
      <x:c r="G283" s="46" t="n">
        <x:v>100</x:v>
      </x:c>
      <x:c r="H283" s="46" t="n">
        <x:f>B283-C283</x:f>
        <x:v>-55.5</x:v>
      </x:c>
      <x:c r="I283" s="46" t="n">
        <x:f>LN((B283+1)/(C283+1))</x:f>
        <x:v>-0.2049461922623022</x:v>
      </x:c>
      <x:c r="J283" t="str">
        <x:f>IF(A283&lt;"1997-06","Antes","Después")</x:f>
        <x:v>Después</x:v>
      </x:c>
      <x:c r="K283" t="str">
        <x:v>51025090</x:v>
      </x:c>
    </x:row>
    <x:row r="284">
      <x:c r="A284" t="str">
        <x:v>2010-02</x:v>
      </x:c>
      <x:c r="B284" s="44" t="n">
        <x:v>214</x:v>
      </x:c>
      <x:c r="C284" s="44" t="n">
        <x:v>352.5</x:v>
      </x:c>
      <x:c r="D284" t="n">
        <x:v>28</x:v>
      </x:c>
      <x:c r="E284" t="n">
        <x:v>28</x:v>
      </x:c>
      <x:c r="F284" s="46" t="n">
        <x:v>100</x:v>
      </x:c>
      <x:c r="G284" s="46" t="n">
        <x:v>100</x:v>
      </x:c>
      <x:c r="H284" s="46" t="n">
        <x:f>B284-C284</x:f>
        <x:v>-138.5</x:v>
      </x:c>
      <x:c r="I284" s="46" t="n">
        <x:f>LN((B284+1)/(C284+1))</x:f>
        <x:v>-0.4972454572089646</x:v>
      </x:c>
      <x:c r="J284" t="str">
        <x:f>IF(A284&lt;"1997-06","Antes","Después")</x:f>
        <x:v>Después</x:v>
      </x:c>
      <x:c r="K284" t="str">
        <x:v>51025090</x:v>
      </x:c>
    </x:row>
    <x:row r="285">
      <x:c r="A285" t="str">
        <x:v>2010-03</x:v>
      </x:c>
      <x:c r="B285" s="44" t="n">
        <x:v>417</x:v>
      </x:c>
      <x:c r="C285" s="44" t="n">
        <x:v>436.6</x:v>
      </x:c>
      <x:c r="D285" t="n">
        <x:v>31</x:v>
      </x:c>
      <x:c r="E285" t="n">
        <x:v>31</x:v>
      </x:c>
      <x:c r="F285" s="46" t="n">
        <x:v>100</x:v>
      </x:c>
      <x:c r="G285" s="46" t="n">
        <x:v>100</x:v>
      </x:c>
      <x:c r="H285" s="46" t="n">
        <x:f>B285-C285</x:f>
        <x:v>-19.600000000000023</x:v>
      </x:c>
      <x:c r="I285" s="46" t="n">
        <x:f>LN((B285+1)/(C285+1))</x:f>
        <x:v>-0.045823818583015194</x:v>
      </x:c>
      <x:c r="J285" t="str">
        <x:f>IF(A285&lt;"1997-06","Antes","Después")</x:f>
        <x:v>Después</x:v>
      </x:c>
      <x:c r="K285" t="str">
        <x:v>51025090</x:v>
      </x:c>
    </x:row>
    <x:row r="286">
      <x:c r="A286" t="str">
        <x:v>2010-04</x:v>
      </x:c>
      <x:c r="B286" s="44" t="n">
        <x:v>413</x:v>
      </x:c>
      <x:c r="C286" s="44" t="n">
        <x:v>479.5</x:v>
      </x:c>
      <x:c r="D286" t="n">
        <x:v>30</x:v>
      </x:c>
      <x:c r="E286" t="n">
        <x:v>30</x:v>
      </x:c>
      <x:c r="F286" s="46" t="n">
        <x:v>100</x:v>
      </x:c>
      <x:c r="G286" s="46" t="n">
        <x:v>100</x:v>
      </x:c>
      <x:c r="H286" s="46" t="n">
        <x:f>B286-C286</x:f>
        <x:v>-66.5</x:v>
      </x:c>
      <x:c r="I286" s="46" t="n">
        <x:f>LN((B286+1)/(C286+1))</x:f>
        <x:v>-0.14896125458503276</x:v>
      </x:c>
      <x:c r="J286" t="str">
        <x:f>IF(A286&lt;"1997-06","Antes","Después")</x:f>
        <x:v>Después</x:v>
      </x:c>
      <x:c r="K286" t="str">
        <x:v>51025090</x:v>
      </x:c>
    </x:row>
    <x:row r="287">
      <x:c r="A287" t="str">
        <x:v>2010-05</x:v>
      </x:c>
      <x:c r="B287" s="44" t="n">
        <x:v>171</x:v>
      </x:c>
      <x:c r="C287" s="44" t="n">
        <x:v>212.4</x:v>
      </x:c>
      <x:c r="D287" t="n">
        <x:v>31</x:v>
      </x:c>
      <x:c r="E287" t="n">
        <x:v>31</x:v>
      </x:c>
      <x:c r="F287" s="46" t="n">
        <x:v>100</x:v>
      </x:c>
      <x:c r="G287" s="46" t="n">
        <x:v>100</x:v>
      </x:c>
      <x:c r="H287" s="46" t="n">
        <x:f>B287-C287</x:f>
        <x:v>-41.400000000000006</x:v>
      </x:c>
      <x:c r="I287" s="46" t="n">
        <x:f>LN((B287+1)/(C287+1))</x:f>
        <x:v>-0.21567386205419994</x:v>
      </x:c>
      <x:c r="J287" t="str">
        <x:f>IF(A287&lt;"1997-06","Antes","Después")</x:f>
        <x:v>Después</x:v>
      </x:c>
      <x:c r="K287" t="str">
        <x:v>51025090</x:v>
      </x:c>
    </x:row>
    <x:row r="288">
      <x:c r="A288" t="str">
        <x:v>2010-06</x:v>
      </x:c>
      <x:c r="B288" s="44" t="n">
        <x:v>308</x:v>
      </x:c>
      <x:c r="C288" s="44" t="n">
        <x:v>463.5</x:v>
      </x:c>
      <x:c r="D288" t="n">
        <x:v>30</x:v>
      </x:c>
      <x:c r="E288" t="n">
        <x:v>30</x:v>
      </x:c>
      <x:c r="F288" s="46" t="n">
        <x:v>100</x:v>
      </x:c>
      <x:c r="G288" s="46" t="n">
        <x:v>100</x:v>
      </x:c>
      <x:c r="H288" s="46" t="n">
        <x:f>B288-C288</x:f>
        <x:v>-155.5</x:v>
      </x:c>
      <x:c r="I288" s="46" t="n">
        <x:f>LN((B288+1)/(C288+1))</x:f>
        <x:v>-0.4076202813561477</x:v>
      </x:c>
      <x:c r="J288" t="str">
        <x:f>IF(A288&lt;"1997-06","Antes","Después")</x:f>
        <x:v>Después</x:v>
      </x:c>
      <x:c r="K288" t="str">
        <x:v>51025090</x:v>
      </x:c>
    </x:row>
    <x:row r="289">
      <x:c r="A289" t="str">
        <x:v>2010-07</x:v>
      </x:c>
      <x:c r="B289" s="44" t="n">
        <x:v>121</x:v>
      </x:c>
      <x:c r="C289" s="44" t="n">
        <x:v>171.4</x:v>
      </x:c>
      <x:c r="D289" t="n">
        <x:v>31</x:v>
      </x:c>
      <x:c r="E289" t="n">
        <x:v>31</x:v>
      </x:c>
      <x:c r="F289" s="46" t="n">
        <x:v>100</x:v>
      </x:c>
      <x:c r="G289" s="46" t="n">
        <x:v>100</x:v>
      </x:c>
      <x:c r="H289" s="46" t="n">
        <x:f>B289-C289</x:f>
        <x:v>-50.400000000000006</x:v>
      </x:c>
      <x:c r="I289" s="46" t="n">
        <x:f>LN((B289+1)/(C289+1))</x:f>
        <x:v>-0.34579631349633627</x:v>
      </x:c>
      <x:c r="J289" t="str">
        <x:f>IF(A289&lt;"1997-06","Antes","Después")</x:f>
        <x:v>Después</x:v>
      </x:c>
      <x:c r="K289" t="str">
        <x:v>51025090</x:v>
      </x:c>
    </x:row>
    <x:row r="290">
      <x:c r="A290" t="str">
        <x:v>2010-08</x:v>
      </x:c>
      <x:c r="B290" s="44" t="n">
        <x:v>25</x:v>
      </x:c>
      <x:c r="C290" s="44" t="n">
        <x:v>43.8</x:v>
      </x:c>
      <x:c r="D290" t="n">
        <x:v>31</x:v>
      </x:c>
      <x:c r="E290" t="n">
        <x:v>31</x:v>
      </x:c>
      <x:c r="F290" s="46" t="n">
        <x:v>100</x:v>
      </x:c>
      <x:c r="G290" s="46" t="n">
        <x:v>100</x:v>
      </x:c>
      <x:c r="H290" s="46" t="n">
        <x:f>B290-C290</x:f>
        <x:v>-18.799999999999997</x:v>
      </x:c>
      <x:c r="I290" s="46" t="n">
        <x:f>LN((B290+1)/(C290+1))</x:f>
        <x:v>-0.5441116013994574</x:v>
      </x:c>
      <x:c r="J290" t="str">
        <x:f>IF(A290&lt;"1997-06","Antes","Después")</x:f>
        <x:v>Después</x:v>
      </x:c>
      <x:c r="K290" t="str">
        <x:v>51025090</x:v>
      </x:c>
    </x:row>
    <x:row r="291">
      <x:c r="A291" t="str">
        <x:v>2010-09</x:v>
      </x:c>
      <x:c r="B291" s="44" t="n">
        <x:v>249</x:v>
      </x:c>
      <x:c r="C291" s="44" t="n">
        <x:v>343.6</x:v>
      </x:c>
      <x:c r="D291" t="n">
        <x:v>30</x:v>
      </x:c>
      <x:c r="E291" t="n">
        <x:v>30</x:v>
      </x:c>
      <x:c r="F291" s="46" t="n">
        <x:v>100</x:v>
      </x:c>
      <x:c r="G291" s="46" t="n">
        <x:v>100</x:v>
      </x:c>
      <x:c r="H291" s="46" t="n">
        <x:f>B291-C291</x:f>
        <x:v>-94.60000000000002</x:v>
      </x:c>
      <x:c r="I291" s="46" t="n">
        <x:f>LN((B291+1)/(C291+1))</x:f>
        <x:v>-0.32092340623158283</x:v>
      </x:c>
      <x:c r="J291" t="str">
        <x:f>IF(A291&lt;"1997-06","Antes","Después")</x:f>
        <x:v>Después</x:v>
      </x:c>
      <x:c r="K291" t="str">
        <x:v>51025090</x:v>
      </x:c>
    </x:row>
    <x:row r="292">
      <x:c r="A292" t="str">
        <x:v>2010-10</x:v>
      </x:c>
      <x:c r="B292" s="44" t="n">
        <x:v>130</x:v>
      </x:c>
      <x:c r="C292" s="44" t="n">
        <x:v>64.5</x:v>
      </x:c>
      <x:c r="D292" t="n">
        <x:v>31</x:v>
      </x:c>
      <x:c r="E292" t="n">
        <x:v>31</x:v>
      </x:c>
      <x:c r="F292" s="46" t="n">
        <x:v>100</x:v>
      </x:c>
      <x:c r="G292" s="46" t="n">
        <x:v>100</x:v>
      </x:c>
      <x:c r="H292" s="46" t="n">
        <x:f>B292-C292</x:f>
        <x:v>65.5</x:v>
      </x:c>
      <x:c r="I292" s="46" t="n">
        <x:f>LN((B292+1)/(C292+1))</x:f>
        <x:v>0.6931471805599453</x:v>
      </x:c>
      <x:c r="J292" t="str">
        <x:f>IF(A292&lt;"1997-06","Antes","Después")</x:f>
        <x:v>Después</x:v>
      </x:c>
      <x:c r="K292" t="str">
        <x:v>51025090</x:v>
      </x:c>
    </x:row>
    <x:row r="293">
      <x:c r="A293" t="str">
        <x:v>2010-11</x:v>
      </x:c>
      <x:c r="B293" s="44" t="n">
        <x:v>229</x:v>
      </x:c>
      <x:c r="C293" s="44" t="n">
        <x:v>271.7</x:v>
      </x:c>
      <x:c r="D293" t="n">
        <x:v>30</x:v>
      </x:c>
      <x:c r="E293" t="n">
        <x:v>30</x:v>
      </x:c>
      <x:c r="F293" s="46" t="n">
        <x:v>100</x:v>
      </x:c>
      <x:c r="G293" s="46" t="n">
        <x:v>100</x:v>
      </x:c>
      <x:c r="H293" s="46" t="n">
        <x:f>B293-C293</x:f>
        <x:v>-42.69999999999999</x:v>
      </x:c>
      <x:c r="I293" s="46" t="n">
        <x:f>LN((B293+1)/(C293+1))</x:f>
        <x:v>-0.17029298092834746</x:v>
      </x:c>
      <x:c r="J293" t="str">
        <x:f>IF(A293&lt;"1997-06","Antes","Después")</x:f>
        <x:v>Después</x:v>
      </x:c>
      <x:c r="K293" t="str">
        <x:v>51025090</x:v>
      </x:c>
    </x:row>
    <x:row r="294">
      <x:c r="A294" t="str">
        <x:v>2010-12</x:v>
      </x:c>
      <x:c r="B294" s="44" t="n">
        <x:v>378</x:v>
      </x:c>
      <x:c r="C294" s="44" t="n">
        <x:v>491.8</x:v>
      </x:c>
      <x:c r="D294" t="n">
        <x:v>31</x:v>
      </x:c>
      <x:c r="E294" t="n">
        <x:v>31</x:v>
      </x:c>
      <x:c r="F294" s="46" t="n">
        <x:v>100</x:v>
      </x:c>
      <x:c r="G294" s="46" t="n">
        <x:v>100</x:v>
      </x:c>
      <x:c r="H294" s="46" t="n">
        <x:f>B294-C294</x:f>
        <x:v>-113.80000000000001</x:v>
      </x:c>
      <x:c r="I294" s="46" t="n">
        <x:f>LN((B294+1)/(C294+1))</x:f>
        <x:v>-0.2625672071368837</x:v>
      </x:c>
      <x:c r="J294" t="str">
        <x:f>IF(A294&lt;"1997-06","Antes","Después")</x:f>
        <x:v>Después</x:v>
      </x:c>
      <x:c r="K294" t="str">
        <x:v>51025090</x:v>
      </x:c>
    </x:row>
    <x:row r="295">
      <x:c r="A295" t="str">
        <x:v>2011-01</x:v>
      </x:c>
      <x:c r="B295" s="44" t="n">
        <x:v>290</x:v>
      </x:c>
      <x:c r="C295" s="44" t="n">
        <x:v>294</x:v>
      </x:c>
      <x:c r="D295" t="n">
        <x:v>31</x:v>
      </x:c>
      <x:c r="E295" t="n">
        <x:v>31</x:v>
      </x:c>
      <x:c r="F295" s="46" t="n">
        <x:v>100</x:v>
      </x:c>
      <x:c r="G295" s="46" t="n">
        <x:v>100</x:v>
      </x:c>
      <x:c r="H295" s="46" t="n">
        <x:f>B295-C295</x:f>
        <x:v>-4</x:v>
      </x:c>
      <x:c r="I295" s="46" t="n">
        <x:f>LN((B295+1)/(C295+1))</x:f>
        <x:v>-0.01365208916832732</x:v>
      </x:c>
      <x:c r="J295" t="str">
        <x:f>IF(A295&lt;"1997-06","Antes","Después")</x:f>
        <x:v>Después</x:v>
      </x:c>
      <x:c r="K295" t="str">
        <x:v>51025090</x:v>
      </x:c>
    </x:row>
    <x:row r="296">
      <x:c r="A296" t="str">
        <x:v>2011-02</x:v>
      </x:c>
      <x:c r="B296" s="44" t="n">
        <x:v>103</x:v>
      </x:c>
      <x:c r="C296" s="44" t="n">
        <x:v>157.3</x:v>
      </x:c>
      <x:c r="D296" t="n">
        <x:v>28</x:v>
      </x:c>
      <x:c r="E296" t="n">
        <x:v>28</x:v>
      </x:c>
      <x:c r="F296" s="46" t="n">
        <x:v>100</x:v>
      </x:c>
      <x:c r="G296" s="46" t="n">
        <x:v>100</x:v>
      </x:c>
      <x:c r="H296" s="46" t="n">
        <x:f>B296-C296</x:f>
        <x:v>-54.30000000000001</x:v>
      </x:c>
      <x:c r="I296" s="46" t="n">
        <x:f>LN((B296+1)/(C296+1))</x:f>
        <x:v>-0.4201010677455938</x:v>
      </x:c>
      <x:c r="J296" t="str">
        <x:f>IF(A296&lt;"1997-06","Antes","Después")</x:f>
        <x:v>Después</x:v>
      </x:c>
      <x:c r="K296" t="str">
        <x:v>51025090</x:v>
      </x:c>
    </x:row>
    <x:row r="297">
      <x:c r="A297" t="str">
        <x:v>2011-03</x:v>
      </x:c>
      <x:c r="B297" s="44" t="n">
        <x:v>121</x:v>
      </x:c>
      <x:c r="C297" s="44" t="n">
        <x:v>164.1</x:v>
      </x:c>
      <x:c r="D297" t="n">
        <x:v>31</x:v>
      </x:c>
      <x:c r="E297" t="n">
        <x:v>31</x:v>
      </x:c>
      <x:c r="F297" s="46" t="n">
        <x:v>100</x:v>
      </x:c>
      <x:c r="G297" s="46" t="n">
        <x:v>100</x:v>
      </x:c>
      <x:c r="H297" s="46" t="n">
        <x:f>B297-C297</x:f>
        <x:v>-43.099999999999994</x:v>
      </x:c>
      <x:c r="I297" s="46" t="n">
        <x:f>LN((B297+1)/(C297+1))</x:f>
        <x:v>-0.3025303061928258</x:v>
      </x:c>
      <x:c r="J297" t="str">
        <x:f>IF(A297&lt;"1997-06","Antes","Después")</x:f>
        <x:v>Después</x:v>
      </x:c>
      <x:c r="K297" t="str">
        <x:v>51025090</x:v>
      </x:c>
    </x:row>
    <x:row r="298">
      <x:c r="A298" t="str">
        <x:v>2011-04</x:v>
      </x:c>
      <x:c r="B298" s="44" t="n">
        <x:v>290</x:v>
      </x:c>
      <x:c r="C298" s="44" t="n">
        <x:v>267.4</x:v>
      </x:c>
      <x:c r="D298" t="n">
        <x:v>30</x:v>
      </x:c>
      <x:c r="E298" t="n">
        <x:v>30</x:v>
      </x:c>
      <x:c r="F298" s="46" t="n">
        <x:v>100</x:v>
      </x:c>
      <x:c r="G298" s="46" t="n">
        <x:v>100</x:v>
      </x:c>
      <x:c r="H298" s="46" t="n">
        <x:f>B298-C298</x:f>
        <x:v>22.600000000000023</x:v>
      </x:c>
      <x:c r="I298" s="46" t="n">
        <x:f>LN((B298+1)/(C298+1))</x:f>
        <x:v>0.08084486207396588</x:v>
      </x:c>
      <x:c r="J298" t="str">
        <x:f>IF(A298&lt;"1997-06","Antes","Después")</x:f>
        <x:v>Después</x:v>
      </x:c>
      <x:c r="K298" t="str">
        <x:v>51025090</x:v>
      </x:c>
    </x:row>
    <x:row r="299">
      <x:c r="A299" t="str">
        <x:v>2011-05</x:v>
      </x:c>
      <x:c r="B299" s="44" t="n">
        <x:v>101</x:v>
      </x:c>
      <x:c r="C299" s="44" t="n">
        <x:v>152.2</x:v>
      </x:c>
      <x:c r="D299" t="n">
        <x:v>31</x:v>
      </x:c>
      <x:c r="E299" t="n">
        <x:v>31</x:v>
      </x:c>
      <x:c r="F299" s="46" t="n">
        <x:v>100</x:v>
      </x:c>
      <x:c r="G299" s="46" t="n">
        <x:v>100</x:v>
      </x:c>
      <x:c r="H299" s="46" t="n">
        <x:f>B299-C299</x:f>
        <x:v>-51.19999999999999</x:v>
      </x:c>
      <x:c r="I299" s="46" t="n">
        <x:f>LN((B299+1)/(C299+1))</x:f>
        <x:v>-0.4067714440222199</x:v>
      </x:c>
      <x:c r="J299" t="str">
        <x:f>IF(A299&lt;"1997-06","Antes","Después")</x:f>
        <x:v>Después</x:v>
      </x:c>
      <x:c r="K299" t="str">
        <x:v>51025090</x:v>
      </x:c>
    </x:row>
    <x:row r="300">
      <x:c r="A300" t="str">
        <x:v>2011-06</x:v>
      </x:c>
      <x:c r="B300" s="44" t="n">
        <x:v>127</x:v>
      </x:c>
      <x:c r="C300" s="44" t="n">
        <x:v>193.2</x:v>
      </x:c>
      <x:c r="D300" t="n">
        <x:v>30</x:v>
      </x:c>
      <x:c r="E300" t="n">
        <x:v>30</x:v>
      </x:c>
      <x:c r="F300" s="46" t="n">
        <x:v>100</x:v>
      </x:c>
      <x:c r="G300" s="46" t="n">
        <x:v>100</x:v>
      </x:c>
      <x:c r="H300" s="46" t="n">
        <x:f>B300-C300</x:f>
        <x:v>-66.19999999999999</x:v>
      </x:c>
      <x:c r="I300" s="46" t="n">
        <x:f>LN((B300+1)/(C300+1))</x:f>
        <x:v>-0.4168582919376073</x:v>
      </x:c>
      <x:c r="J300" t="str">
        <x:f>IF(A300&lt;"1997-06","Antes","Después")</x:f>
        <x:v>Después</x:v>
      </x:c>
      <x:c r="K300" t="str">
        <x:v>51025090</x:v>
      </x:c>
    </x:row>
    <x:row r="301">
      <x:c r="A301" t="str">
        <x:v>2011-07</x:v>
      </x:c>
      <x:c r="B301" s="44" t="n">
        <x:v>197</x:v>
      </x:c>
      <x:c r="C301" s="44" t="n">
        <x:v>299.1</x:v>
      </x:c>
      <x:c r="D301" t="n">
        <x:v>31</x:v>
      </x:c>
      <x:c r="E301" t="n">
        <x:v>31</x:v>
      </x:c>
      <x:c r="F301" s="46" t="n">
        <x:v>100</x:v>
      </x:c>
      <x:c r="G301" s="46" t="n">
        <x:v>100</x:v>
      </x:c>
      <x:c r="H301" s="46" t="n">
        <x:f>B301-C301</x:f>
        <x:v>-102.10000000000002</x:v>
      </x:c>
      <x:c r="I301" s="46" t="n">
        <x:f>LN((B301+1)/(C301+1))</x:f>
        <x:v>-0.4158487217517863</x:v>
      </x:c>
      <x:c r="J301" t="str">
        <x:f>IF(A301&lt;"1997-06","Antes","Después")</x:f>
        <x:v>Después</x:v>
      </x:c>
      <x:c r="K301" t="str">
        <x:v>51025090</x:v>
      </x:c>
    </x:row>
    <x:row r="302">
      <x:c r="A302" t="str">
        <x:v>2011-08</x:v>
      </x:c>
      <x:c r="B302" s="44" t="n">
        <x:v>152</x:v>
      </x:c>
      <x:c r="C302" s="44" t="n">
        <x:v>158.3</x:v>
      </x:c>
      <x:c r="D302" t="n">
        <x:v>31</x:v>
      </x:c>
      <x:c r="E302" t="n">
        <x:v>31</x:v>
      </x:c>
      <x:c r="F302" s="46" t="n">
        <x:v>100</x:v>
      </x:c>
      <x:c r="G302" s="46" t="n">
        <x:v>100</x:v>
      </x:c>
      <x:c r="H302" s="46" t="n">
        <x:f>B302-C302</x:f>
        <x:v>-6.300000000000011</x:v>
      </x:c>
      <x:c r="I302" s="46" t="n">
        <x:f>LN((B302+1)/(C302+1))</x:f>
        <x:v>-0.04035129552356746</x:v>
      </x:c>
      <x:c r="J302" t="str">
        <x:f>IF(A302&lt;"1997-06","Antes","Después")</x:f>
        <x:v>Después</x:v>
      </x:c>
      <x:c r="K302" t="str">
        <x:v>51025090</x:v>
      </x:c>
    </x:row>
    <x:row r="303">
      <x:c r="A303" t="str">
        <x:v>2011-09</x:v>
      </x:c>
      <x:c r="B303" s="44" t="n">
        <x:v>56</x:v>
      </x:c>
      <x:c r="C303" s="44" t="n">
        <x:v>102.3</x:v>
      </x:c>
      <x:c r="D303" t="n">
        <x:v>30</x:v>
      </x:c>
      <x:c r="E303" t="n">
        <x:v>30</x:v>
      </x:c>
      <x:c r="F303" s="46" t="n">
        <x:v>100</x:v>
      </x:c>
      <x:c r="G303" s="46" t="n">
        <x:v>100</x:v>
      </x:c>
      <x:c r="H303" s="46" t="n">
        <x:f>B303-C303</x:f>
        <x:v>-46.3</x:v>
      </x:c>
      <x:c r="I303" s="46" t="n">
        <x:f>LN((B303+1)/(C303+1))</x:f>
        <x:v>-0.5945861082910426</x:v>
      </x:c>
      <x:c r="J303" t="str">
        <x:f>IF(A303&lt;"1997-06","Antes","Después")</x:f>
        <x:v>Después</x:v>
      </x:c>
      <x:c r="K303" t="str">
        <x:v>51025090</x:v>
      </x:c>
    </x:row>
    <x:row r="304">
      <x:c r="A304" t="str">
        <x:v>2011-10</x:v>
      </x:c>
      <x:c r="B304" s="44" t="n">
        <x:v>129</x:v>
      </x:c>
      <x:c r="C304" s="44" t="n">
        <x:v>157.7</x:v>
      </x:c>
      <x:c r="D304" t="n">
        <x:v>31</x:v>
      </x:c>
      <x:c r="E304" t="n">
        <x:v>31</x:v>
      </x:c>
      <x:c r="F304" s="46" t="n">
        <x:v>100</x:v>
      </x:c>
      <x:c r="G304" s="46" t="n">
        <x:v>100</x:v>
      </x:c>
      <x:c r="H304" s="46" t="n">
        <x:f>B304-C304</x:f>
        <x:v>-28.69999999999999</x:v>
      </x:c>
      <x:c r="I304" s="46" t="n">
        <x:f>LN((B304+1)/(C304+1))</x:f>
        <x:v>-0.19948117707678095</x:v>
      </x:c>
      <x:c r="J304" t="str">
        <x:f>IF(A304&lt;"1997-06","Antes","Después")</x:f>
        <x:v>Después</x:v>
      </x:c>
      <x:c r="K304" t="str">
        <x:v>51025090</x:v>
      </x:c>
    </x:row>
    <x:row r="305">
      <x:c r="A305" t="str">
        <x:v>2011-11</x:v>
      </x:c>
      <x:c r="B305" s="44" t="n">
        <x:v>0</x:v>
      </x:c>
      <x:c r="C305" s="44" t="n">
        <x:v>5.8</x:v>
      </x:c>
      <x:c r="D305" t="n">
        <x:v>30</x:v>
      </x:c>
      <x:c r="E305" t="n">
        <x:v>30</x:v>
      </x:c>
      <x:c r="F305" s="46" t="n">
        <x:v>100</x:v>
      </x:c>
      <x:c r="G305" s="46" t="n">
        <x:v>100</x:v>
      </x:c>
      <x:c r="H305" s="46" t="n">
        <x:f>B305-C305</x:f>
        <x:v>-5.8</x:v>
      </x:c>
      <x:c r="I305" s="46" t="n">
        <x:f>LN((B305+1)/(C305+1))</x:f>
        <x:v>-1.916922612182061</x:v>
      </x:c>
      <x:c r="J305" t="str">
        <x:f>IF(A305&lt;"1997-06","Antes","Después")</x:f>
        <x:v>Después</x:v>
      </x:c>
      <x:c r="K305" t="str">
        <x:v>51025090</x:v>
      </x:c>
    </x:row>
    <x:row r="306">
      <x:c r="A306" t="str">
        <x:v>2011-12</x:v>
      </x:c>
      <x:c r="B306" s="44" t="n">
        <x:v>50</x:v>
      </x:c>
      <x:c r="C306" s="44" t="n">
        <x:v>132.6</x:v>
      </x:c>
      <x:c r="D306" t="n">
        <x:v>31</x:v>
      </x:c>
      <x:c r="E306" t="n">
        <x:v>31</x:v>
      </x:c>
      <x:c r="F306" s="46" t="n">
        <x:v>100</x:v>
      </x:c>
      <x:c r="G306" s="46" t="n">
        <x:v>100</x:v>
      </x:c>
      <x:c r="H306" s="46" t="n">
        <x:f>B306-C306</x:f>
        <x:v>-82.6</x:v>
      </x:c>
      <x:c r="I306" s="46" t="n">
        <x:f>LN((B306+1)/(C306+1))</x:f>
        <x:v>-0.9630246283782194</x:v>
      </x:c>
      <x:c r="J306" t="str">
        <x:f>IF(A306&lt;"1997-06","Antes","Después")</x:f>
        <x:v>Después</x:v>
      </x:c>
      <x:c r="K306" t="str">
        <x:v>51025090</x:v>
      </x:c>
    </x:row>
    <x:row r="307">
      <x:c r="A307" t="str">
        <x:v>2012-01</x:v>
      </x:c>
      <x:c r="B307" s="44" t="n">
        <x:v>499</x:v>
      </x:c>
      <x:c r="C307" s="44" t="n">
        <x:v>660.9</x:v>
      </x:c>
      <x:c r="D307" t="n">
        <x:v>31</x:v>
      </x:c>
      <x:c r="E307" t="n">
        <x:v>31</x:v>
      </x:c>
      <x:c r="F307" s="46" t="n">
        <x:v>100</x:v>
      </x:c>
      <x:c r="G307" s="46" t="n">
        <x:v>100</x:v>
      </x:c>
      <x:c r="H307" s="46" t="n">
        <x:f>B307-C307</x:f>
        <x:v>-161.89999999999998</x:v>
      </x:c>
      <x:c r="I307" s="46" t="n">
        <x:f>LN((B307+1)/(C307+1))</x:f>
        <x:v>-0.2805063887026854</x:v>
      </x:c>
      <x:c r="J307" t="str">
        <x:f>IF(A307&lt;"1997-06","Antes","Después")</x:f>
        <x:v>Después</x:v>
      </x:c>
      <x:c r="K307" t="str">
        <x:v>51025090</x:v>
      </x:c>
    </x:row>
    <x:row r="308">
      <x:c r="A308" t="str">
        <x:v>2012-02</x:v>
      </x:c>
      <x:c r="B308" s="44" t="n">
        <x:v>255</x:v>
      </x:c>
      <x:c r="C308" s="44" t="n">
        <x:v>272.4</x:v>
      </x:c>
      <x:c r="D308" t="n">
        <x:v>29</x:v>
      </x:c>
      <x:c r="E308" t="n">
        <x:v>29</x:v>
      </x:c>
      <x:c r="F308" s="46" t="n">
        <x:v>100</x:v>
      </x:c>
      <x:c r="G308" s="46" t="n">
        <x:v>100</x:v>
      </x:c>
      <x:c r="H308" s="46" t="n">
        <x:f>B308-C308</x:f>
        <x:v>-17.399999999999977</x:v>
      </x:c>
      <x:c r="I308" s="46" t="n">
        <x:f>LN((B308+1)/(C308+1))</x:f>
        <x:v>-0.06575847981028661</x:v>
      </x:c>
      <x:c r="J308" t="str">
        <x:f>IF(A308&lt;"1997-06","Antes","Después")</x:f>
        <x:v>Después</x:v>
      </x:c>
      <x:c r="K308" t="str">
        <x:v>51025090</x:v>
      </x:c>
    </x:row>
    <x:row r="309">
      <x:c r="A309" t="str">
        <x:v>2012-03</x:v>
      </x:c>
      <x:c r="B309" s="44" t="n">
        <x:v>212</x:v>
      </x:c>
      <x:c r="C309" s="44" t="n">
        <x:v>226.5</x:v>
      </x:c>
      <x:c r="D309" t="n">
        <x:v>31</x:v>
      </x:c>
      <x:c r="E309" t="n">
        <x:v>31</x:v>
      </x:c>
      <x:c r="F309" s="46" t="n">
        <x:v>100</x:v>
      </x:c>
      <x:c r="G309" s="46" t="n">
        <x:v>100</x:v>
      </x:c>
      <x:c r="H309" s="46" t="n">
        <x:f>B309-C309</x:f>
        <x:v>-14.5</x:v>
      </x:c>
      <x:c r="I309" s="46" t="n">
        <x:f>LN((B309+1)/(C309+1))</x:f>
        <x:v>-0.06585807268157999</x:v>
      </x:c>
      <x:c r="J309" t="str">
        <x:f>IF(A309&lt;"1997-06","Antes","Después")</x:f>
        <x:v>Después</x:v>
      </x:c>
      <x:c r="K309" t="str">
        <x:v>51025090</x:v>
      </x:c>
    </x:row>
    <x:row r="310">
      <x:c r="A310" t="str">
        <x:v>2012-04</x:v>
      </x:c>
      <x:c r="B310" s="44" t="n">
        <x:v>318</x:v>
      </x:c>
      <x:c r="C310" s="44" t="n">
        <x:v>367.5</x:v>
      </x:c>
      <x:c r="D310" t="n">
        <x:v>30</x:v>
      </x:c>
      <x:c r="E310" t="n">
        <x:v>30</x:v>
      </x:c>
      <x:c r="F310" s="46" t="n">
        <x:v>100</x:v>
      </x:c>
      <x:c r="G310" s="46" t="n">
        <x:v>100</x:v>
      </x:c>
      <x:c r="H310" s="46" t="n">
        <x:f>B310-C310</x:f>
        <x:v>-49.5</x:v>
      </x:c>
      <x:c r="I310" s="46" t="n">
        <x:f>LN((B310+1)/(C310+1))</x:f>
        <x:v>-0.1442496088445468</x:v>
      </x:c>
      <x:c r="J310" t="str">
        <x:f>IF(A310&lt;"1997-06","Antes","Después")</x:f>
        <x:v>Después</x:v>
      </x:c>
      <x:c r="K310" t="str">
        <x:v>51025090</x:v>
      </x:c>
    </x:row>
    <x:row r="311">
      <x:c r="A311" t="str">
        <x:v>2012-05</x:v>
      </x:c>
      <x:c r="B311" s="44" t="n">
        <x:v>554</x:v>
      </x:c>
      <x:c r="C311" s="44" t="n">
        <x:v>731.6</x:v>
      </x:c>
      <x:c r="D311" t="n">
        <x:v>31</x:v>
      </x:c>
      <x:c r="E311" t="n">
        <x:v>31</x:v>
      </x:c>
      <x:c r="F311" s="46" t="n">
        <x:v>100</x:v>
      </x:c>
      <x:c r="G311" s="46" t="n">
        <x:v>100</x:v>
      </x:c>
      <x:c r="H311" s="46" t="n">
        <x:f>B311-C311</x:f>
        <x:v>-177.60000000000002</x:v>
      </x:c>
      <x:c r="I311" s="46" t="n">
        <x:f>LN((B311+1)/(C311+1))</x:f>
        <x:v>-0.2776317365982795</x:v>
      </x:c>
      <x:c r="J311" t="str">
        <x:f>IF(A311&lt;"1997-06","Antes","Después")</x:f>
        <x:v>Después</x:v>
      </x:c>
      <x:c r="K311" t="str">
        <x:v>51025090</x:v>
      </x:c>
    </x:row>
    <x:row r="312">
      <x:c r="A312" t="str">
        <x:v>2012-06</x:v>
      </x:c>
      <x:c r="B312" s="44" t="n">
        <x:v>265</x:v>
      </x:c>
      <x:c r="C312" s="44" t="n">
        <x:v>360.1</x:v>
      </x:c>
      <x:c r="D312" t="n">
        <x:v>29</x:v>
      </x:c>
      <x:c r="E312" t="n">
        <x:v>30</x:v>
      </x:c>
      <x:c r="F312" s="46" t="n">
        <x:v>96.67</x:v>
      </x:c>
      <x:c r="G312" s="46" t="n">
        <x:v>100</x:v>
      </x:c>
      <x:c r="H312" s="46" t="n">
        <x:f>B312-C312</x:f>
        <x:v>-95.10000000000002</x:v>
      </x:c>
      <x:c r="I312" s="46" t="n">
        <x:f>LN((B312+1)/(C312+1))</x:f>
        <x:v>-0.30565861950171314</x:v>
      </x:c>
      <x:c r="J312" t="str">
        <x:f>IF(A312&lt;"1997-06","Antes","Después")</x:f>
        <x:v>Después</x:v>
      </x:c>
      <x:c r="K312" t="str">
        <x:v>51025090</x:v>
      </x:c>
    </x:row>
    <x:row r="313">
      <x:c r="A313" t="str">
        <x:v>2012-07</x:v>
      </x:c>
      <x:c r="B313" s="44" t="n">
        <x:v>55</x:v>
      </x:c>
      <x:c r="C313" s="44" t="n">
        <x:v>104.3</x:v>
      </x:c>
      <x:c r="D313" t="n">
        <x:v>31</x:v>
      </x:c>
      <x:c r="E313" t="n">
        <x:v>31</x:v>
      </x:c>
      <x:c r="F313" s="46" t="n">
        <x:v>100</x:v>
      </x:c>
      <x:c r="G313" s="46" t="n">
        <x:v>100</x:v>
      </x:c>
      <x:c r="H313" s="46" t="n">
        <x:f>B313-C313</x:f>
        <x:v>-49.3</x:v>
      </x:c>
      <x:c r="I313" s="46" t="n">
        <x:f>LN((B313+1)/(C313+1))</x:f>
        <x:v>-0.6314617284047805</x:v>
      </x:c>
      <x:c r="J313" t="str">
        <x:f>IF(A313&lt;"1997-06","Antes","Después")</x:f>
        <x:v>Después</x:v>
      </x:c>
      <x:c r="K313" t="str">
        <x:v>51025090</x:v>
      </x:c>
    </x:row>
    <x:row r="314">
      <x:c r="A314" t="str">
        <x:v>2012-08</x:v>
      </x:c>
      <x:c r="B314" s="44" t="n">
        <x:v>33</x:v>
      </x:c>
      <x:c r="C314" s="44" t="n">
        <x:v>65</x:v>
      </x:c>
      <x:c r="D314" t="n">
        <x:v>31</x:v>
      </x:c>
      <x:c r="E314" t="n">
        <x:v>31</x:v>
      </x:c>
      <x:c r="F314" s="46" t="n">
        <x:v>100</x:v>
      </x:c>
      <x:c r="G314" s="46" t="n">
        <x:v>100</x:v>
      </x:c>
      <x:c r="H314" s="46" t="n">
        <x:f>B314-C314</x:f>
        <x:v>-32</x:v>
      </x:c>
      <x:c r="I314" s="46" t="n">
        <x:f>LN((B314+1)/(C314+1))</x:f>
        <x:v>-0.6632942174102642</x:v>
      </x:c>
      <x:c r="J314" t="str">
        <x:f>IF(A314&lt;"1997-06","Antes","Después")</x:f>
        <x:v>Después</x:v>
      </x:c>
      <x:c r="K314" t="str">
        <x:v>51025090</x:v>
      </x:c>
    </x:row>
    <x:row r="315">
      <x:c r="A315" t="str">
        <x:v>2012-09</x:v>
      </x:c>
      <x:c r="B315" s="44" t="n">
        <x:v>62</x:v>
      </x:c>
      <x:c r="C315" s="44" t="n">
        <x:v>57.2</x:v>
      </x:c>
      <x:c r="D315" t="n">
        <x:v>30</x:v>
      </x:c>
      <x:c r="E315" t="n">
        <x:v>30</x:v>
      </x:c>
      <x:c r="F315" s="46" t="n">
        <x:v>100</x:v>
      </x:c>
      <x:c r="G315" s="46" t="n">
        <x:v>100</x:v>
      </x:c>
      <x:c r="H315" s="46" t="n">
        <x:f>B315-C315</x:f>
        <x:v>4.799999999999997</x:v>
      </x:c>
      <x:c r="I315" s="46" t="n">
        <x:f>LN((B315+1)/(C315+1))</x:f>
        <x:v>0.07924937165414048</x:v>
      </x:c>
      <x:c r="J315" t="str">
        <x:f>IF(A315&lt;"1997-06","Antes","Después")</x:f>
        <x:v>Después</x:v>
      </x:c>
      <x:c r="K315" t="str">
        <x:v>51025090</x:v>
      </x:c>
    </x:row>
    <x:row r="316">
      <x:c r="A316" t="str">
        <x:v>2012-10</x:v>
      </x:c>
      <x:c r="B316" s="44" t="n">
        <x:v>78</x:v>
      </x:c>
      <x:c r="C316" s="44" t="n">
        <x:v>88.6</x:v>
      </x:c>
      <x:c r="D316" t="n">
        <x:v>31</x:v>
      </x:c>
      <x:c r="E316" t="n">
        <x:v>31</x:v>
      </x:c>
      <x:c r="F316" s="46" t="n">
        <x:v>100</x:v>
      </x:c>
      <x:c r="G316" s="46" t="n">
        <x:v>100</x:v>
      </x:c>
      <x:c r="H316" s="46" t="n">
        <x:f>B316-C316</x:f>
        <x:v>-10.599999999999994</x:v>
      </x:c>
      <x:c r="I316" s="46" t="n">
        <x:f>LN((B316+1)/(C316+1))</x:f>
        <x:v>-0.12590746751386325</x:v>
      </x:c>
      <x:c r="J316" t="str">
        <x:f>IF(A316&lt;"1997-06","Antes","Después")</x:f>
        <x:v>Después</x:v>
      </x:c>
      <x:c r="K316" t="str">
        <x:v>51025090</x:v>
      </x:c>
    </x:row>
    <x:row r="317">
      <x:c r="A317" t="str">
        <x:v>2012-11</x:v>
      </x:c>
      <x:c r="B317" s="44" t="n">
        <x:v>55</x:v>
      </x:c>
      <x:c r="C317" s="44" t="n">
        <x:v>85.4</x:v>
      </x:c>
      <x:c r="D317" t="n">
        <x:v>30</x:v>
      </x:c>
      <x:c r="E317" t="n">
        <x:v>30</x:v>
      </x:c>
      <x:c r="F317" s="46" t="n">
        <x:v>100</x:v>
      </x:c>
      <x:c r="G317" s="46" t="n">
        <x:v>100</x:v>
      </x:c>
      <x:c r="H317" s="46" t="n">
        <x:f>B317-C317</x:f>
        <x:v>-30.400000000000006</x:v>
      </x:c>
      <x:c r="I317" s="46" t="n">
        <x:f>LN((B317+1)/(C317+1))</x:f>
        <x:v>-0.43363598507486073</x:v>
      </x:c>
      <x:c r="J317" t="str">
        <x:f>IF(A317&lt;"1997-06","Antes","Después")</x:f>
        <x:v>Después</x:v>
      </x:c>
      <x:c r="K317" t="str">
        <x:v>51025090</x:v>
      </x:c>
    </x:row>
    <x:row r="318">
      <x:c r="A318" t="str">
        <x:v>2012-12</x:v>
      </x:c>
      <x:c r="B318" s="44" t="n">
        <x:v>27</x:v>
      </x:c>
      <x:c r="C318" s="44" t="n">
        <x:v>48</x:v>
      </x:c>
      <x:c r="D318" t="n">
        <x:v>31</x:v>
      </x:c>
      <x:c r="E318" t="n">
        <x:v>31</x:v>
      </x:c>
      <x:c r="F318" s="46" t="n">
        <x:v>100</x:v>
      </x:c>
      <x:c r="G318" s="46" t="n">
        <x:v>100</x:v>
      </x:c>
      <x:c r="H318" s="46" t="n">
        <x:f>B318-C318</x:f>
        <x:v>-21</x:v>
      </x:c>
      <x:c r="I318" s="46" t="n">
        <x:f>LN((B318+1)/(C318+1))</x:f>
        <x:v>-0.5596157879354228</x:v>
      </x:c>
      <x:c r="J318" t="str">
        <x:f>IF(A318&lt;"1997-06","Antes","Después")</x:f>
        <x:v>Después</x:v>
      </x:c>
      <x:c r="K318" t="str">
        <x:v>51025090</x:v>
      </x:c>
    </x:row>
    <x:row r="319">
      <x:c r="A319" t="str">
        <x:v>2013-01</x:v>
      </x:c>
      <x:c r="B319" s="44" t="n">
        <x:v>274</x:v>
      </x:c>
      <x:c r="C319" s="44" t="n">
        <x:v>310.4</x:v>
      </x:c>
      <x:c r="D319" t="n">
        <x:v>31</x:v>
      </x:c>
      <x:c r="E319" t="n">
        <x:v>31</x:v>
      </x:c>
      <x:c r="F319" s="46" t="n">
        <x:v>100</x:v>
      </x:c>
      <x:c r="G319" s="46" t="n">
        <x:v>100</x:v>
      </x:c>
      <x:c r="H319" s="46" t="n">
        <x:f>B319-C319</x:f>
        <x:v>-36.39999999999998</x:v>
      </x:c>
      <x:c r="I319" s="46" t="n">
        <x:f>LN((B319+1)/(C319+1))</x:f>
        <x:v>-0.12430716173332665</x:v>
      </x:c>
      <x:c r="J319" t="str">
        <x:f>IF(A319&lt;"1997-06","Antes","Después")</x:f>
        <x:v>Después</x:v>
      </x:c>
      <x:c r="K319" t="str">
        <x:v>51025090</x:v>
      </x:c>
    </x:row>
    <x:row r="320">
      <x:c r="A320" t="str">
        <x:v>2013-02</x:v>
      </x:c>
      <x:c r="B320" s="44" t="n">
        <x:v>267</x:v>
      </x:c>
      <x:c r="C320" s="44" t="n">
        <x:v>179.8</x:v>
      </x:c>
      <x:c r="D320" t="n">
        <x:v>28</x:v>
      </x:c>
      <x:c r="E320" t="n">
        <x:v>28</x:v>
      </x:c>
      <x:c r="F320" s="46" t="n">
        <x:v>100</x:v>
      </x:c>
      <x:c r="G320" s="46" t="n">
        <x:v>100</x:v>
      </x:c>
      <x:c r="H320" s="46" t="n">
        <x:f>B320-C320</x:f>
        <x:v>87.19999999999999</x:v>
      </x:c>
      <x:c r="I320" s="46" t="n">
        <x:f>LN((B320+1)/(C320+1))</x:f>
        <x:v>0.3935955325527805</x:v>
      </x:c>
      <x:c r="J320" t="str">
        <x:f>IF(A320&lt;"1997-06","Antes","Después")</x:f>
        <x:v>Después</x:v>
      </x:c>
      <x:c r="K320" t="str">
        <x:v>51025090</x:v>
      </x:c>
    </x:row>
    <x:row r="321">
      <x:c r="A321" t="str">
        <x:v>2013-03</x:v>
      </x:c>
      <x:c r="B321" s="44" t="n">
        <x:v>346</x:v>
      </x:c>
      <x:c r="C321" s="44" t="n">
        <x:v>368.1</x:v>
      </x:c>
      <x:c r="D321" t="n">
        <x:v>31</x:v>
      </x:c>
      <x:c r="E321" t="n">
        <x:v>31</x:v>
      </x:c>
      <x:c r="F321" s="46" t="n">
        <x:v>100</x:v>
      </x:c>
      <x:c r="G321" s="46" t="n">
        <x:v>100</x:v>
      </x:c>
      <x:c r="H321" s="46" t="n">
        <x:f>B321-C321</x:f>
        <x:v>-22.100000000000023</x:v>
      </x:c>
      <x:c r="I321" s="46" t="n">
        <x:f>LN((B321+1)/(C321+1))</x:f>
        <x:v>-0.06174283008909376</x:v>
      </x:c>
      <x:c r="J321" t="str">
        <x:f>IF(A321&lt;"1997-06","Antes","Después")</x:f>
        <x:v>Después</x:v>
      </x:c>
      <x:c r="K321" t="str">
        <x:v>51025090</x:v>
      </x:c>
    </x:row>
    <x:row r="322">
      <x:c r="A322" t="str">
        <x:v>2013-04</x:v>
      </x:c>
      <x:c r="B322" s="44" t="n">
        <x:v>561</x:v>
      </x:c>
      <x:c r="C322" s="44" t="n">
        <x:v>453.8</x:v>
      </x:c>
      <x:c r="D322" t="n">
        <x:v>30</x:v>
      </x:c>
      <x:c r="E322" t="n">
        <x:v>30</x:v>
      </x:c>
      <x:c r="F322" s="46" t="n">
        <x:v>100</x:v>
      </x:c>
      <x:c r="G322" s="46" t="n">
        <x:v>100</x:v>
      </x:c>
      <x:c r="H322" s="46" t="n">
        <x:f>B322-C322</x:f>
        <x:v>107.19999999999999</x:v>
      </x:c>
      <x:c r="I322" s="46" t="n">
        <x:f>LN((B322+1)/(C322+1))</x:f>
        <x:v>0.2116440880173101</x:v>
      </x:c>
      <x:c r="J322" t="str">
        <x:f>IF(A322&lt;"1997-06","Antes","Después")</x:f>
        <x:v>Después</x:v>
      </x:c>
      <x:c r="K322" t="str">
        <x:v>51025090</x:v>
      </x:c>
    </x:row>
    <x:row r="323">
      <x:c r="A323" t="str">
        <x:v>2013-05</x:v>
      </x:c>
      <x:c r="B323" s="44" t="n">
        <x:v>433</x:v>
      </x:c>
      <x:c r="C323" s="44" t="n">
        <x:v>438.1</x:v>
      </x:c>
      <x:c r="D323" t="n">
        <x:v>31</x:v>
      </x:c>
      <x:c r="E323" t="n">
        <x:v>31</x:v>
      </x:c>
      <x:c r="F323" s="46" t="n">
        <x:v>100</x:v>
      </x:c>
      <x:c r="G323" s="46" t="n">
        <x:v>100</x:v>
      </x:c>
      <x:c r="H323" s="46" t="n">
        <x:f>B323-C323</x:f>
        <x:v>-5.100000000000023</x:v>
      </x:c>
      <x:c r="I323" s="46" t="n">
        <x:f>LN((B323+1)/(C323+1))</x:f>
        <x:v>-0.011682643467266978</x:v>
      </x:c>
      <x:c r="J323" t="str">
        <x:f>IF(A323&lt;"1997-06","Antes","Después")</x:f>
        <x:v>Después</x:v>
      </x:c>
      <x:c r="K323" t="str">
        <x:v>51025090</x:v>
      </x:c>
    </x:row>
    <x:row r="324">
      <x:c r="A324" t="str">
        <x:v>2013-06</x:v>
      </x:c>
      <x:c r="B324" s="44" t="n">
        <x:v>118</x:v>
      </x:c>
      <x:c r="C324" s="44" t="n">
        <x:v>197.7</x:v>
      </x:c>
      <x:c r="D324" t="n">
        <x:v>30</x:v>
      </x:c>
      <x:c r="E324" t="n">
        <x:v>30</x:v>
      </x:c>
      <x:c r="F324" s="46" t="n">
        <x:v>100</x:v>
      </x:c>
      <x:c r="G324" s="46" t="n">
        <x:v>100</x:v>
      </x:c>
      <x:c r="H324" s="46" t="n">
        <x:f>B324-C324</x:f>
        <x:v>-79.69999999999999</x:v>
      </x:c>
      <x:c r="I324" s="46" t="n">
        <x:f>LN((B324+1)/(C324+1))</x:f>
        <x:v>-0.5126726564462418</x:v>
      </x:c>
      <x:c r="J324" t="str">
        <x:f>IF(A324&lt;"1997-06","Antes","Después")</x:f>
        <x:v>Después</x:v>
      </x:c>
      <x:c r="K324" t="str">
        <x:v>51025090</x:v>
      </x:c>
    </x:row>
    <x:row r="325">
      <x:c r="A325" t="str">
        <x:v>2013-07</x:v>
      </x:c>
      <x:c r="B325" s="44" t="n">
        <x:v>119</x:v>
      </x:c>
      <x:c r="C325" s="44" t="n">
        <x:v>104.7</x:v>
      </x:c>
      <x:c r="D325" t="n">
        <x:v>31</x:v>
      </x:c>
      <x:c r="E325" t="n">
        <x:v>31</x:v>
      </x:c>
      <x:c r="F325" s="46" t="n">
        <x:v>100</x:v>
      </x:c>
      <x:c r="G325" s="46" t="n">
        <x:v>100</x:v>
      </x:c>
      <x:c r="H325" s="46" t="n">
        <x:f>B325-C325</x:f>
        <x:v>14.299999999999997</x:v>
      </x:c>
      <x:c r="I325" s="46" t="n">
        <x:f>LN((B325+1)/(C325+1))</x:f>
        <x:v>0.12688684990585397</x:v>
      </x:c>
      <x:c r="J325" t="str">
        <x:f>IF(A325&lt;"1997-06","Antes","Después")</x:f>
        <x:v>Después</x:v>
      </x:c>
      <x:c r="K325" t="str">
        <x:v>51025090</x:v>
      </x:c>
    </x:row>
    <x:row r="326">
      <x:c r="A326" t="str">
        <x:v>2013-08</x:v>
      </x:c>
      <x:c r="B326" s="44" t="n">
        <x:v>99</x:v>
      </x:c>
      <x:c r="C326" s="44" t="n">
        <x:v>146.2</x:v>
      </x:c>
      <x:c r="D326" t="n">
        <x:v>31</x:v>
      </x:c>
      <x:c r="E326" t="n">
        <x:v>31</x:v>
      </x:c>
      <x:c r="F326" s="46" t="n">
        <x:v>100</x:v>
      </x:c>
      <x:c r="G326" s="46" t="n">
        <x:v>100</x:v>
      </x:c>
      <x:c r="H326" s="46" t="n">
        <x:f>B326-C326</x:f>
        <x:v>-47.19999999999999</x:v>
      </x:c>
      <x:c r="I326" s="46" t="n">
        <x:f>LN((B326+1)/(C326+1))</x:f>
        <x:v>-0.38662202030668447</x:v>
      </x:c>
      <x:c r="J326" t="str">
        <x:f>IF(A326&lt;"1997-06","Antes","Después")</x:f>
        <x:v>Después</x:v>
      </x:c>
      <x:c r="K326" t="str">
        <x:v>51025090</x:v>
      </x:c>
    </x:row>
    <x:row r="327">
      <x:c r="A327" t="str">
        <x:v>2013-09</x:v>
      </x:c>
      <x:c r="B327" s="44" t="n">
        <x:v>69</x:v>
      </x:c>
      <x:c r="C327" s="44" t="n">
        <x:v>76.9</x:v>
      </x:c>
      <x:c r="D327" t="n">
        <x:v>30</x:v>
      </x:c>
      <x:c r="E327" t="n">
        <x:v>30</x:v>
      </x:c>
      <x:c r="F327" s="46" t="n">
        <x:v>100</x:v>
      </x:c>
      <x:c r="G327" s="46" t="n">
        <x:v>100</x:v>
      </x:c>
      <x:c r="H327" s="46" t="n">
        <x:f>B327-C327</x:f>
        <x:v>-7.900000000000006</x:v>
      </x:c>
      <x:c r="I327" s="46" t="n">
        <x:f>LN((B327+1)/(C327+1))</x:f>
        <x:v>-0.10693071082734369</x:v>
      </x:c>
      <x:c r="J327" t="str">
        <x:f>IF(A327&lt;"1997-06","Antes","Después")</x:f>
        <x:v>Después</x:v>
      </x:c>
      <x:c r="K327" t="str">
        <x:v>51025090</x:v>
      </x:c>
    </x:row>
    <x:row r="328">
      <x:c r="A328" t="str">
        <x:v>2013-10</x:v>
      </x:c>
      <x:c r="B328" s="44" t="n">
        <x:v>98</x:v>
      </x:c>
      <x:c r="C328" s="44" t="n">
        <x:v>220.7</x:v>
      </x:c>
      <x:c r="D328" t="n">
        <x:v>31</x:v>
      </x:c>
      <x:c r="E328" t="n">
        <x:v>31</x:v>
      </x:c>
      <x:c r="F328" s="46" t="n">
        <x:v>100</x:v>
      </x:c>
      <x:c r="G328" s="46" t="n">
        <x:v>100</x:v>
      </x:c>
      <x:c r="H328" s="46" t="n">
        <x:f>B328-C328</x:f>
        <x:v>-122.69999999999999</x:v>
      </x:c>
      <x:c r="I328" s="46" t="n">
        <x:f>LN((B328+1)/(C328+1))</x:f>
        <x:v>-0.8062052664876758</x:v>
      </x:c>
      <x:c r="J328" t="str">
        <x:f>IF(A328&lt;"1997-06","Antes","Después")</x:f>
        <x:v>Después</x:v>
      </x:c>
      <x:c r="K328" t="str">
        <x:v>51025090</x:v>
      </x:c>
    </x:row>
    <x:row r="329">
      <x:c r="A329" t="str">
        <x:v>2013-11</x:v>
      </x:c>
      <x:c r="B329" s="44" t="n">
        <x:v>2</x:v>
      </x:c>
      <x:c r="C329" s="44" t="n">
        <x:v>35.4</x:v>
      </x:c>
      <x:c r="D329" t="n">
        <x:v>30</x:v>
      </x:c>
      <x:c r="E329" t="n">
        <x:v>30</x:v>
      </x:c>
      <x:c r="F329" s="46" t="n">
        <x:v>100</x:v>
      </x:c>
      <x:c r="G329" s="46" t="n">
        <x:v>100</x:v>
      </x:c>
      <x:c r="H329" s="46" t="n">
        <x:f>B329-C329</x:f>
        <x:v>-33.4</x:v>
      </x:c>
      <x:c r="I329" s="46" t="n">
        <x:f>LN((B329+1)/(C329+1))</x:f>
        <x:v>-2.495956485974585</x:v>
      </x:c>
      <x:c r="J329" t="str">
        <x:f>IF(A329&lt;"1997-06","Antes","Después")</x:f>
        <x:v>Después</x:v>
      </x:c>
      <x:c r="K329" t="str">
        <x:v>51025090</x:v>
      </x:c>
    </x:row>
    <x:row r="330">
      <x:c r="A330" t="str">
        <x:v>2013-12</x:v>
      </x:c>
      <x:c r="B330" s="44" t="n">
        <x:v>30</x:v>
      </x:c>
      <x:c r="C330" s="44" t="n">
        <x:v>132.8</x:v>
      </x:c>
      <x:c r="D330" t="n">
        <x:v>31</x:v>
      </x:c>
      <x:c r="E330" t="n">
        <x:v>31</x:v>
      </x:c>
      <x:c r="F330" s="46" t="n">
        <x:v>100</x:v>
      </x:c>
      <x:c r="G330" s="46" t="n">
        <x:v>100</x:v>
      </x:c>
      <x:c r="H330" s="46" t="n">
        <x:f>B330-C330</x:f>
        <x:v>-102.80000000000001</x:v>
      </x:c>
      <x:c r="I330" s="46" t="n">
        <x:f>LN((B330+1)/(C330+1))</x:f>
        <x:v>-1.4623589432089819</x:v>
      </x:c>
      <x:c r="J330" t="str">
        <x:f>IF(A330&lt;"1997-06","Antes","Después")</x:f>
        <x:v>Después</x:v>
      </x:c>
      <x:c r="K330" t="str">
        <x:v>51025090</x:v>
      </x:c>
    </x:row>
    <x:row r="331">
      <x:c r="A331" t="str">
        <x:v>2014-01</x:v>
      </x:c>
      <x:c r="B331" s="44" t="n">
        <x:v>300</x:v>
      </x:c>
      <x:c r="C331" s="44" t="n">
        <x:v>429.8</x:v>
      </x:c>
      <x:c r="D331" t="n">
        <x:v>31</x:v>
      </x:c>
      <x:c r="E331" t="n">
        <x:v>31</x:v>
      </x:c>
      <x:c r="F331" s="46" t="n">
        <x:v>100</x:v>
      </x:c>
      <x:c r="G331" s="46" t="n">
        <x:v>100</x:v>
      </x:c>
      <x:c r="H331" s="46" t="n">
        <x:f>B331-C331</x:f>
        <x:v>-129.8</x:v>
      </x:c>
      <x:c r="I331" s="46" t="n">
        <x:f>LN((B331+1)/(C331+1))</x:f>
        <x:v>-0.3585336805333577</x:v>
      </x:c>
      <x:c r="J331" t="str">
        <x:f>IF(A331&lt;"1997-06","Antes","Después")</x:f>
        <x:v>Después</x:v>
      </x:c>
      <x:c r="K331" t="str">
        <x:v>51025090</x:v>
      </x:c>
    </x:row>
    <x:row r="332">
      <x:c r="A332" t="str">
        <x:v>2014-02</x:v>
      </x:c>
      <x:c r="B332" s="44" t="n">
        <x:v>135</x:v>
      </x:c>
      <x:c r="C332" s="44" t="n">
        <x:v>431.8</x:v>
      </x:c>
      <x:c r="D332" t="n">
        <x:v>28</x:v>
      </x:c>
      <x:c r="E332" t="n">
        <x:v>28</x:v>
      </x:c>
      <x:c r="F332" s="46" t="n">
        <x:v>100</x:v>
      </x:c>
      <x:c r="G332" s="46" t="n">
        <x:v>100</x:v>
      </x:c>
      <x:c r="H332" s="46" t="n">
        <x:f>B332-C332</x:f>
        <x:v>-296.8</x:v>
      </x:c>
      <x:c r="I332" s="46" t="n">
        <x:f>LN((B332+1)/(C332+1))</x:f>
        <x:v>-1.1576208417962197</x:v>
      </x:c>
      <x:c r="J332" t="str">
        <x:f>IF(A332&lt;"1997-06","Antes","Después")</x:f>
        <x:v>Después</x:v>
      </x:c>
      <x:c r="K332" t="str">
        <x:v>51025090</x:v>
      </x:c>
    </x:row>
    <x:row r="333">
      <x:c r="A333" t="str">
        <x:v>2014-03</x:v>
      </x:c>
      <x:c r="B333" s="44" t="n">
        <x:v>393</x:v>
      </x:c>
      <x:c r="C333" s="44" t="n">
        <x:v>425</x:v>
      </x:c>
      <x:c r="D333" t="n">
        <x:v>31</x:v>
      </x:c>
      <x:c r="E333" t="n">
        <x:v>31</x:v>
      </x:c>
      <x:c r="F333" s="46" t="n">
        <x:v>100</x:v>
      </x:c>
      <x:c r="G333" s="46" t="n">
        <x:v>100</x:v>
      </x:c>
      <x:c r="H333" s="46" t="n">
        <x:f>B333-C333</x:f>
        <x:v>-32</x:v>
      </x:c>
      <x:c r="I333" s="46" t="n">
        <x:f>LN((B333+1)/(C333+1))</x:f>
        <x:v>-0.07808843697143658</x:v>
      </x:c>
      <x:c r="J333" t="str">
        <x:f>IF(A333&lt;"1997-06","Antes","Después")</x:f>
        <x:v>Después</x:v>
      </x:c>
      <x:c r="K333" t="str">
        <x:v>51025090</x:v>
      </x:c>
    </x:row>
    <x:row r="334">
      <x:c r="A334" t="str">
        <x:v>2014-04</x:v>
      </x:c>
      <x:c r="B334" s="44" t="n">
        <x:v>348</x:v>
      </x:c>
      <x:c r="C334" s="44" t="n">
        <x:v>394.3</x:v>
      </x:c>
      <x:c r="D334" t="n">
        <x:v>30</x:v>
      </x:c>
      <x:c r="E334" t="n">
        <x:v>30</x:v>
      </x:c>
      <x:c r="F334" s="46" t="n">
        <x:v>100</x:v>
      </x:c>
      <x:c r="G334" s="46" t="n">
        <x:v>100</x:v>
      </x:c>
      <x:c r="H334" s="46" t="n">
        <x:f>B334-C334</x:f>
        <x:v>-46.30000000000001</x:v>
      </x:c>
      <x:c r="I334" s="46" t="n">
        <x:f>LN((B334+1)/(C334+1))</x:f>
        <x:v>-0.12457304810021269</x:v>
      </x:c>
      <x:c r="J334" t="str">
        <x:f>IF(A334&lt;"1997-06","Antes","Después")</x:f>
        <x:v>Después</x:v>
      </x:c>
      <x:c r="K334" t="str">
        <x:v>51025090</x:v>
      </x:c>
    </x:row>
    <x:row r="335">
      <x:c r="A335" t="str">
        <x:v>2014-05</x:v>
      </x:c>
      <x:c r="B335" s="44" t="n">
        <x:v>450</x:v>
      </x:c>
      <x:c r="C335" s="44" t="n">
        <x:v>540</x:v>
      </x:c>
      <x:c r="D335" t="n">
        <x:v>31</x:v>
      </x:c>
      <x:c r="E335" t="n">
        <x:v>31</x:v>
      </x:c>
      <x:c r="F335" s="46" t="n">
        <x:v>100</x:v>
      </x:c>
      <x:c r="G335" s="46" t="n">
        <x:v>100</x:v>
      </x:c>
      <x:c r="H335" s="46" t="n">
        <x:f>B335-C335</x:f>
        <x:v>-90</x:v>
      </x:c>
      <x:c r="I335" s="46" t="n">
        <x:f>LN((B335+1)/(C335+1))</x:f>
        <x:v>-0.18195193934380316</x:v>
      </x:c>
      <x:c r="J335" t="str">
        <x:f>IF(A335&lt;"1997-06","Antes","Después")</x:f>
        <x:v>Después</x:v>
      </x:c>
      <x:c r="K335" t="str">
        <x:v>51025090</x:v>
      </x:c>
    </x:row>
    <x:row r="336">
      <x:c r="A336" t="str">
        <x:v>2014-06</x:v>
      </x:c>
      <x:c r="B336" s="44" t="n">
        <x:v>480</x:v>
      </x:c>
      <x:c r="C336" s="44" t="n">
        <x:v>357.1</x:v>
      </x:c>
      <x:c r="D336" t="n">
        <x:v>30</x:v>
      </x:c>
      <x:c r="E336" t="n">
        <x:v>30</x:v>
      </x:c>
      <x:c r="F336" s="46" t="n">
        <x:v>100</x:v>
      </x:c>
      <x:c r="G336" s="46" t="n">
        <x:v>100</x:v>
      </x:c>
      <x:c r="H336" s="46" t="n">
        <x:f>B336-C336</x:f>
        <x:v>122.89999999999998</x:v>
      </x:c>
      <x:c r="I336" s="46" t="n">
        <x:f>LN((B336+1)/(C336+1))</x:f>
        <x:v>0.2950549931013741</x:v>
      </x:c>
      <x:c r="J336" t="str">
        <x:f>IF(A336&lt;"1997-06","Antes","Después")</x:f>
        <x:v>Después</x:v>
      </x:c>
      <x:c r="K336" t="str">
        <x:v>51025090</x:v>
      </x:c>
    </x:row>
    <x:row r="337">
      <x:c r="A337" t="str">
        <x:v>2014-07</x:v>
      </x:c>
      <x:c r="B337" s="44" t="n">
        <x:v>33</x:v>
      </x:c>
      <x:c r="C337" s="44" t="n">
        <x:v>126.3</x:v>
      </x:c>
      <x:c r="D337" t="n">
        <x:v>31</x:v>
      </x:c>
      <x:c r="E337" t="n">
        <x:v>31</x:v>
      </x:c>
      <x:c r="F337" s="46" t="n">
        <x:v>100</x:v>
      </x:c>
      <x:c r="G337" s="46" t="n">
        <x:v>100</x:v>
      </x:c>
      <x:c r="H337" s="46" t="n">
        <x:f>B337-C337</x:f>
        <x:v>-93.3</x:v>
      </x:c>
      <x:c r="I337" s="46" t="n">
        <x:f>LN((B337+1)/(C337+1))</x:f>
        <x:v>-1.3201859809471994</x:v>
      </x:c>
      <x:c r="J337" t="str">
        <x:f>IF(A337&lt;"1997-06","Antes","Después")</x:f>
        <x:v>Después</x:v>
      </x:c>
      <x:c r="K337" t="str">
        <x:v>51025090</x:v>
      </x:c>
    </x:row>
    <x:row r="338">
      <x:c r="A338" t="str">
        <x:v>2014-08</x:v>
      </x:c>
      <x:c r="B338" s="44" t="n">
        <x:v>141</x:v>
      </x:c>
      <x:c r="C338" s="44" t="n">
        <x:v>147.9</x:v>
      </x:c>
      <x:c r="D338" t="n">
        <x:v>31</x:v>
      </x:c>
      <x:c r="E338" t="n">
        <x:v>31</x:v>
      </x:c>
      <x:c r="F338" s="46" t="n">
        <x:v>100</x:v>
      </x:c>
      <x:c r="G338" s="46" t="n">
        <x:v>100</x:v>
      </x:c>
      <x:c r="H338" s="46" t="n">
        <x:f>B338-C338</x:f>
        <x:v>-6.900000000000006</x:v>
      </x:c>
      <x:c r="I338" s="46" t="n">
        <x:f>LN((B338+1)/(C338+1))</x:f>
        <x:v>-0.04744788208870257</x:v>
      </x:c>
      <x:c r="J338" t="str">
        <x:f>IF(A338&lt;"1997-06","Antes","Después")</x:f>
        <x:v>Después</x:v>
      </x:c>
      <x:c r="K338" t="str">
        <x:v>51025090</x:v>
      </x:c>
    </x:row>
    <x:row r="339">
      <x:c r="A339" t="str">
        <x:v>2014-09</x:v>
      </x:c>
      <x:c r="B339" s="44" t="n">
        <x:v>173</x:v>
      </x:c>
      <x:c r="C339" s="44" t="n">
        <x:v>261.1</x:v>
      </x:c>
      <x:c r="D339" t="n">
        <x:v>30</x:v>
      </x:c>
      <x:c r="E339" t="n">
        <x:v>30</x:v>
      </x:c>
      <x:c r="F339" s="46" t="n">
        <x:v>100</x:v>
      </x:c>
      <x:c r="G339" s="46" t="n">
        <x:v>100</x:v>
      </x:c>
      <x:c r="H339" s="46" t="n">
        <x:f>B339-C339</x:f>
        <x:v>-88.10000000000002</x:v>
      </x:c>
      <x:c r="I339" s="46" t="n">
        <x:f>LN((B339+1)/(C339+1))</x:f>
        <x:v>-0.4096708111148317</x:v>
      </x:c>
      <x:c r="J339" t="str">
        <x:f>IF(A339&lt;"1997-06","Antes","Después")</x:f>
        <x:v>Después</x:v>
      </x:c>
      <x:c r="K339" t="str">
        <x:v>51025090</x:v>
      </x:c>
    </x:row>
    <x:row r="340">
      <x:c r="A340" t="str">
        <x:v>2014-10</x:v>
      </x:c>
      <x:c r="B340" s="44" t="n">
        <x:v>175</x:v>
      </x:c>
      <x:c r="C340" s="44" t="n">
        <x:v>153.9</x:v>
      </x:c>
      <x:c r="D340" t="n">
        <x:v>31</x:v>
      </x:c>
      <x:c r="E340" t="n">
        <x:v>31</x:v>
      </x:c>
      <x:c r="F340" s="46" t="n">
        <x:v>100</x:v>
      </x:c>
      <x:c r="G340" s="46" t="n">
        <x:v>100</x:v>
      </x:c>
      <x:c r="H340" s="46" t="n">
        <x:f>B340-C340</x:f>
        <x:v>21.099999999999994</x:v>
      </x:c>
      <x:c r="I340" s="46" t="n">
        <x:f>LN((B340+1)/(C340+1))</x:f>
        <x:v>0.12770424761532873</x:v>
      </x:c>
      <x:c r="J340" t="str">
        <x:f>IF(A340&lt;"1997-06","Antes","Después")</x:f>
        <x:v>Después</x:v>
      </x:c>
      <x:c r="K340" t="str">
        <x:v>51025090</x:v>
      </x:c>
    </x:row>
    <x:row r="341">
      <x:c r="A341" t="str">
        <x:v>2014-11</x:v>
      </x:c>
      <x:c r="B341" s="44" t="n">
        <x:v>104</x:v>
      </x:c>
      <x:c r="C341" s="44" t="n">
        <x:v>103.9</x:v>
      </x:c>
      <x:c r="D341" t="n">
        <x:v>30</x:v>
      </x:c>
      <x:c r="E341" t="n">
        <x:v>30</x:v>
      </x:c>
      <x:c r="F341" s="46" t="n">
        <x:v>100</x:v>
      </x:c>
      <x:c r="G341" s="46" t="n">
        <x:v>100</x:v>
      </x:c>
      <x:c r="H341" s="46" t="n">
        <x:f>B341-C341</x:f>
        <x:v>0.09999999999999432</x:v>
      </x:c>
      <x:c r="I341" s="46" t="n">
        <x:f>LN((B341+1)/(C341+1))</x:f>
        <x:v>0.0009528347552718458</x:v>
      </x:c>
      <x:c r="J341" t="str">
        <x:f>IF(A341&lt;"1997-06","Antes","Después")</x:f>
        <x:v>Después</x:v>
      </x:c>
      <x:c r="K341" t="str">
        <x:v>51025090</x:v>
      </x:c>
    </x:row>
    <x:row r="342">
      <x:c r="A342" t="str">
        <x:v>2014-12</x:v>
      </x:c>
      <x:c r="B342" s="44" t="n">
        <x:v>110</x:v>
      </x:c>
      <x:c r="C342" s="44" t="n">
        <x:v>243.9</x:v>
      </x:c>
      <x:c r="D342" t="n">
        <x:v>31</x:v>
      </x:c>
      <x:c r="E342" t="n">
        <x:v>31</x:v>
      </x:c>
      <x:c r="F342" s="46" t="n">
        <x:v>100</x:v>
      </x:c>
      <x:c r="G342" s="46" t="n">
        <x:v>100</x:v>
      </x:c>
      <x:c r="H342" s="46" t="n">
        <x:f>B342-C342</x:f>
        <x:v>-133.9</x:v>
      </x:c>
      <x:c r="I342" s="46" t="n">
        <x:f>LN((B342+1)/(C342+1))</x:f>
        <x:v>-0.791319762645788</x:v>
      </x:c>
      <x:c r="J342" t="str">
        <x:f>IF(A342&lt;"1997-06","Antes","Después")</x:f>
        <x:v>Después</x:v>
      </x:c>
      <x:c r="K342" t="str">
        <x:v>51025090</x:v>
      </x:c>
    </x:row>
    <x:row r="343">
      <x:c r="A343" t="str">
        <x:v>2015-01</x:v>
      </x:c>
      <x:c r="B343" s="44" t="n">
        <x:v>325</x:v>
      </x:c>
      <x:c r="C343" s="44" t="n">
        <x:v>352.5</x:v>
      </x:c>
      <x:c r="D343" t="n">
        <x:v>31</x:v>
      </x:c>
      <x:c r="E343" t="n">
        <x:v>31</x:v>
      </x:c>
      <x:c r="F343" s="46" t="n">
        <x:v>100</x:v>
      </x:c>
      <x:c r="G343" s="46" t="n">
        <x:v>100</x:v>
      </x:c>
      <x:c r="H343" s="46" t="n">
        <x:f>B343-C343</x:f>
        <x:v>-27.5</x:v>
      </x:c>
      <x:c r="I343" s="46" t="n">
        <x:f>LN((B343+1)/(C343+1))</x:f>
        <x:v>-0.08098610396991983</x:v>
      </x:c>
      <x:c r="J343" t="str">
        <x:f>IF(A343&lt;"1997-06","Antes","Después")</x:f>
        <x:v>Después</x:v>
      </x:c>
      <x:c r="K343" t="str">
        <x:v>51025090</x:v>
      </x:c>
    </x:row>
    <x:row r="344">
      <x:c r="A344" t="str">
        <x:v>2015-02</x:v>
      </x:c>
      <x:c r="B344" s="44" t="n">
        <x:v>288</x:v>
      </x:c>
      <x:c r="C344" s="44" t="n">
        <x:v>315.8</x:v>
      </x:c>
      <x:c r="D344" t="n">
        <x:v>28</x:v>
      </x:c>
      <x:c r="E344" t="n">
        <x:v>28</x:v>
      </x:c>
      <x:c r="F344" s="46" t="n">
        <x:v>100</x:v>
      </x:c>
      <x:c r="G344" s="46" t="n">
        <x:v>100</x:v>
      </x:c>
      <x:c r="H344" s="46" t="n">
        <x:f>B344-C344</x:f>
        <x:v>-27.80000000000001</x:v>
      </x:c>
      <x:c r="I344" s="46" t="n">
        <x:f>LN((B344+1)/(C344+1))</x:f>
        <x:v>-0.09184397182783868</x:v>
      </x:c>
      <x:c r="J344" t="str">
        <x:f>IF(A344&lt;"1997-06","Antes","Después")</x:f>
        <x:v>Después</x:v>
      </x:c>
      <x:c r="K344" t="str">
        <x:v>51025090</x:v>
      </x:c>
    </x:row>
    <x:row r="345">
      <x:c r="A345" t="str">
        <x:v>2015-03</x:v>
      </x:c>
      <x:c r="B345" s="44" t="n">
        <x:v>296</x:v>
      </x:c>
      <x:c r="C345" s="44" t="n">
        <x:v>227</x:v>
      </x:c>
      <x:c r="D345" t="n">
        <x:v>31</x:v>
      </x:c>
      <x:c r="E345" t="n">
        <x:v>31</x:v>
      </x:c>
      <x:c r="F345" s="46" t="n">
        <x:v>100</x:v>
      </x:c>
      <x:c r="G345" s="46" t="n">
        <x:v>100</x:v>
      </x:c>
      <x:c r="H345" s="46" t="n">
        <x:f>B345-C345</x:f>
        <x:v>69</x:v>
      </x:c>
      <x:c r="I345" s="46" t="n">
        <x:f>LN((B345+1)/(C345+1))</x:f>
        <x:v>0.2643865098482588</x:v>
      </x:c>
      <x:c r="J345" t="str">
        <x:f>IF(A345&lt;"1997-06","Antes","Después")</x:f>
        <x:v>Después</x:v>
      </x:c>
      <x:c r="K345" t="str">
        <x:v>51025090</x:v>
      </x:c>
    </x:row>
    <x:row r="346">
      <x:c r="A346" t="str">
        <x:v>2015-04</x:v>
      </x:c>
      <x:c r="B346" s="44" t="n">
        <x:v>387</x:v>
      </x:c>
      <x:c r="C346" s="44" t="n">
        <x:v>587.6</x:v>
      </x:c>
      <x:c r="D346" t="n">
        <x:v>30</x:v>
      </x:c>
      <x:c r="E346" t="n">
        <x:v>30</x:v>
      </x:c>
      <x:c r="F346" s="46" t="n">
        <x:v>100</x:v>
      </x:c>
      <x:c r="G346" s="46" t="n">
        <x:v>100</x:v>
      </x:c>
      <x:c r="H346" s="46" t="n">
        <x:f>B346-C346</x:f>
        <x:v>-200.60000000000002</x:v>
      </x:c>
      <x:c r="I346" s="46" t="n">
        <x:f>LN((B346+1)/(C346+1))</x:f>
        <x:v>-0.41674149617609907</x:v>
      </x:c>
      <x:c r="J346" t="str">
        <x:f>IF(A346&lt;"1997-06","Antes","Después")</x:f>
        <x:v>Después</x:v>
      </x:c>
      <x:c r="K346" t="str">
        <x:v>51025090</x:v>
      </x:c>
    </x:row>
    <x:row r="347">
      <x:c r="A347" t="str">
        <x:v>2015-05</x:v>
      </x:c>
      <x:c r="B347" s="44" t="n">
        <x:v>283</x:v>
      </x:c>
      <x:c r="C347" s="44" t="n">
        <x:v>336.1</x:v>
      </x:c>
      <x:c r="D347" t="n">
        <x:v>31</x:v>
      </x:c>
      <x:c r="E347" t="n">
        <x:v>30</x:v>
      </x:c>
      <x:c r="F347" s="46" t="n">
        <x:v>100</x:v>
      </x:c>
      <x:c r="G347" s="46" t="n">
        <x:v>96.77</x:v>
      </x:c>
      <x:c r="H347" s="46" t="n">
        <x:f>B347-C347</x:f>
        <x:v>-53.10000000000002</x:v>
      </x:c>
      <x:c r="I347" s="46" t="n">
        <x:f>LN((B347+1)/(C347+1))</x:f>
        <x:v>-0.1714053840788091</x:v>
      </x:c>
      <x:c r="J347" t="str">
        <x:f>IF(A347&lt;"1997-06","Antes","Después")</x:f>
        <x:v>Después</x:v>
      </x:c>
      <x:c r="K347" t="str">
        <x:v>51025090</x:v>
      </x:c>
    </x:row>
    <x:row r="348">
      <x:c r="A348" t="str">
        <x:v>2015-06</x:v>
      </x:c>
      <x:c r="B348" s="44" t="n">
        <x:v>212</x:v>
      </x:c>
      <x:c r="C348" s="44" t="n">
        <x:v>119.9</x:v>
      </x:c>
      <x:c r="D348" t="n">
        <x:v>30</x:v>
      </x:c>
      <x:c r="E348" t="n">
        <x:v>30</x:v>
      </x:c>
      <x:c r="F348" s="46" t="n">
        <x:v>100</x:v>
      </x:c>
      <x:c r="G348" s="46" t="n">
        <x:v>100</x:v>
      </x:c>
      <x:c r="H348" s="46" t="n">
        <x:f>B348-C348</x:f>
        <x:v>92.1</x:v>
      </x:c>
      <x:c r="I348" s="46" t="n">
        <x:f>LN((B348+1)/(C348+1))</x:f>
        <x:v>0.5663284080886781</x:v>
      </x:c>
      <x:c r="J348" t="str">
        <x:f>IF(A348&lt;"1997-06","Antes","Después")</x:f>
        <x:v>Después</x:v>
      </x:c>
      <x:c r="K348" t="str">
        <x:v>51025090</x:v>
      </x:c>
    </x:row>
    <x:row r="349">
      <x:c r="A349" t="str">
        <x:v>2015-07</x:v>
      </x:c>
      <x:c r="B349" s="44" t="n">
        <x:v>346</x:v>
      </x:c>
      <x:c r="C349" s="44" t="n">
        <x:v>427</x:v>
      </x:c>
      <x:c r="D349" t="n">
        <x:v>29</x:v>
      </x:c>
      <x:c r="E349" t="n">
        <x:v>31</x:v>
      </x:c>
      <x:c r="F349" s="46" t="n">
        <x:v>93.55</x:v>
      </x:c>
      <x:c r="G349" s="46" t="n">
        <x:v>100</x:v>
      </x:c>
      <x:c r="H349" s="46" t="n">
        <x:f>B349-C349</x:f>
        <x:v>-81</x:v>
      </x:c>
      <x:c r="I349" s="46" t="n">
        <x:f>LN((B349+1)/(C349+1))</x:f>
        <x:v>-0.20979841563493765</x:v>
      </x:c>
      <x:c r="J349" t="str">
        <x:f>IF(A349&lt;"1997-06","Antes","Después")</x:f>
        <x:v>Después</x:v>
      </x:c>
      <x:c r="K349" t="str">
        <x:v>51025090</x:v>
      </x:c>
    </x:row>
    <x:row r="350">
      <x:c r="A350" t="str">
        <x:v>2015-08</x:v>
      </x:c>
      <x:c r="B350" s="44" t="n">
        <x:v>238</x:v>
      </x:c>
      <x:c r="C350" s="44" t="n">
        <x:v>174.5</x:v>
      </x:c>
      <x:c r="D350" t="n">
        <x:v>31</x:v>
      </x:c>
      <x:c r="E350" t="n">
        <x:v>31</x:v>
      </x:c>
      <x:c r="F350" s="46" t="n">
        <x:v>100</x:v>
      </x:c>
      <x:c r="G350" s="46" t="n">
        <x:v>100</x:v>
      </x:c>
      <x:c r="H350" s="46" t="n">
        <x:f>B350-C350</x:f>
        <x:v>63.5</x:v>
      </x:c>
      <x:c r="I350" s="46" t="n">
        <x:f>LN((B350+1)/(C350+1))</x:f>
        <x:v>0.3088245090255901</x:v>
      </x:c>
      <x:c r="J350" t="str">
        <x:f>IF(A350&lt;"1997-06","Antes","Después")</x:f>
        <x:v>Después</x:v>
      </x:c>
      <x:c r="K350" t="str">
        <x:v>51025090</x:v>
      </x:c>
    </x:row>
    <x:row r="351">
      <x:c r="A351" t="str">
        <x:v>2015-09</x:v>
      </x:c>
      <x:c r="B351" s="44" t="n">
        <x:v>156</x:v>
      </x:c>
      <x:c r="C351" s="44" t="n">
        <x:v>66.8</x:v>
      </x:c>
      <x:c r="D351" t="n">
        <x:v>30</x:v>
      </x:c>
      <x:c r="E351" t="n">
        <x:v>30</x:v>
      </x:c>
      <x:c r="F351" s="46" t="n">
        <x:v>100</x:v>
      </x:c>
      <x:c r="G351" s="46" t="n">
        <x:v>100</x:v>
      </x:c>
      <x:c r="H351" s="46" t="n">
        <x:f>B351-C351</x:f>
        <x:v>89.2</x:v>
      </x:c>
      <x:c r="I351" s="46" t="n">
        <x:f>LN((B351+1)/(C351+1))</x:f>
        <x:v>0.8396836104019583</x:v>
      </x:c>
      <x:c r="J351" t="str">
        <x:f>IF(A351&lt;"1997-06","Antes","Después")</x:f>
        <x:v>Después</x:v>
      </x:c>
      <x:c r="K351" t="str">
        <x:v>51025090</x:v>
      </x:c>
    </x:row>
    <x:row r="352">
      <x:c r="A352" t="str">
        <x:v>2015-10</x:v>
      </x:c>
      <x:c r="B352" s="44" t="n">
        <x:v>197</x:v>
      </x:c>
      <x:c r="C352" s="44" t="n">
        <x:v>232.6</x:v>
      </x:c>
      <x:c r="D352" t="n">
        <x:v>31</x:v>
      </x:c>
      <x:c r="E352" t="n">
        <x:v>31</x:v>
      </x:c>
      <x:c r="F352" s="46" t="n">
        <x:v>100</x:v>
      </x:c>
      <x:c r="G352" s="46" t="n">
        <x:v>100</x:v>
      </x:c>
      <x:c r="H352" s="46" t="n">
        <x:f>B352-C352</x:f>
        <x:v>-35.599999999999994</x:v>
      </x:c>
      <x:c r="I352" s="46" t="n">
        <x:f>LN((B352+1)/(C352+1))</x:f>
        <x:v>-0.16534322025953677</x:v>
      </x:c>
      <x:c r="J352" t="str">
        <x:f>IF(A352&lt;"1997-06","Antes","Después")</x:f>
        <x:v>Después</x:v>
      </x:c>
      <x:c r="K352" t="str">
        <x:v>51025090</x:v>
      </x:c>
    </x:row>
    <x:row r="353">
      <x:c r="A353" t="str">
        <x:v>2015-11</x:v>
      </x:c>
      <x:c r="B353" s="44" t="n">
        <x:v>268</x:v>
      </x:c>
      <x:c r="C353" s="44" t="n">
        <x:v>257</x:v>
      </x:c>
      <x:c r="D353" t="n">
        <x:v>29</x:v>
      </x:c>
      <x:c r="E353" t="n">
        <x:v>30</x:v>
      </x:c>
      <x:c r="F353" s="46" t="n">
        <x:v>96.67</x:v>
      </x:c>
      <x:c r="G353" s="46" t="n">
        <x:v>100</x:v>
      </x:c>
      <x:c r="H353" s="46" t="n">
        <x:f>B353-C353</x:f>
        <x:v>11</x:v>
      </x:c>
      <x:c r="I353" s="46" t="n">
        <x:f>LN((B353+1)/(C353+1))</x:f>
        <x:v>0.041751794680221756</x:v>
      </x:c>
      <x:c r="J353" t="str">
        <x:f>IF(A353&lt;"1997-06","Antes","Después")</x:f>
        <x:v>Después</x:v>
      </x:c>
      <x:c r="K353" t="str">
        <x:v>51025090</x:v>
      </x:c>
    </x:row>
    <x:row r="354">
      <x:c r="A354" t="str">
        <x:v>2015-12</x:v>
      </x:c>
      <x:c r="B354" s="44" t="n">
        <x:v>295</x:v>
      </x:c>
      <x:c r="C354" s="44" t="n">
        <x:v>511.2</x:v>
      </x:c>
      <x:c r="D354" t="n">
        <x:v>31</x:v>
      </x:c>
      <x:c r="E354" t="n">
        <x:v>31</x:v>
      </x:c>
      <x:c r="F354" s="46" t="n">
        <x:v>100</x:v>
      </x:c>
      <x:c r="G354" s="46" t="n">
        <x:v>100</x:v>
      </x:c>
      <x:c r="H354" s="46" t="n">
        <x:f>B354-C354</x:f>
        <x:v>-216.2</x:v>
      </x:c>
      <x:c r="I354" s="46" t="n">
        <x:f>LN((B354+1)/(C354+1))</x:f>
        <x:v>-0.5483557194413646</x:v>
      </x:c>
      <x:c r="J354" t="str">
        <x:f>IF(A354&lt;"1997-06","Antes","Después")</x:f>
        <x:v>Después</x:v>
      </x:c>
      <x:c r="K354" t="str">
        <x:v>51025090</x:v>
      </x:c>
    </x:row>
    <x:row r="355">
      <x:c r="A355" t="str">
        <x:v>2016-01</x:v>
      </x:c>
      <x:c r="B355" s="44" t="n">
        <x:v>428</x:v>
      </x:c>
      <x:c r="C355" s="44" t="n">
        <x:v>749.1</x:v>
      </x:c>
      <x:c r="D355" t="n">
        <x:v>31</x:v>
      </x:c>
      <x:c r="E355" t="n">
        <x:v>31</x:v>
      </x:c>
      <x:c r="F355" s="46" t="n">
        <x:v>100</x:v>
      </x:c>
      <x:c r="G355" s="46" t="n">
        <x:v>100</x:v>
      </x:c>
      <x:c r="H355" s="46" t="n">
        <x:f>B355-C355</x:f>
        <x:v>-321.1</x:v>
      </x:c>
      <x:c r="I355" s="46" t="n">
        <x:f>LN((B355+1)/(C355+1))</x:f>
        <x:v>-0.5587496120475738</x:v>
      </x:c>
      <x:c r="J355" t="str">
        <x:f>IF(A355&lt;"1997-06","Antes","Después")</x:f>
        <x:v>Después</x:v>
      </x:c>
      <x:c r="K355" t="str">
        <x:v>51025090</x:v>
      </x:c>
    </x:row>
    <x:row r="356">
      <x:c r="A356" t="str">
        <x:v>2016-02</x:v>
      </x:c>
      <x:c r="B356" s="44" t="n">
        <x:v>328</x:v>
      </x:c>
      <x:c r="C356" s="44" t="n">
        <x:v>433.5</x:v>
      </x:c>
      <x:c r="D356" t="n">
        <x:v>29</x:v>
      </x:c>
      <x:c r="E356" t="n">
        <x:v>29</x:v>
      </x:c>
      <x:c r="F356" s="46" t="n">
        <x:v>100</x:v>
      </x:c>
      <x:c r="G356" s="46" t="n">
        <x:v>100</x:v>
      </x:c>
      <x:c r="H356" s="46" t="n">
        <x:f>B356-C356</x:f>
        <x:v>-105.5</x:v>
      </x:c>
      <x:c r="I356" s="46" t="n">
        <x:f>LN((B356+1)/(C356+1))</x:f>
        <x:v>-0.2781381939400748</x:v>
      </x:c>
      <x:c r="J356" t="str">
        <x:f>IF(A356&lt;"1997-06","Antes","Después")</x:f>
        <x:v>Después</x:v>
      </x:c>
      <x:c r="K356" t="str">
        <x:v>51025090</x:v>
      </x:c>
    </x:row>
    <x:row r="357">
      <x:c r="A357" t="str">
        <x:v>2016-03</x:v>
      </x:c>
      <x:c r="B357" s="44" t="n">
        <x:v>432</x:v>
      </x:c>
      <x:c r="C357" s="44" t="n">
        <x:v>366</x:v>
      </x:c>
      <x:c r="D357" t="n">
        <x:v>31</x:v>
      </x:c>
      <x:c r="E357" t="n">
        <x:v>31</x:v>
      </x:c>
      <x:c r="F357" s="46" t="n">
        <x:v>100</x:v>
      </x:c>
      <x:c r="G357" s="46" t="n">
        <x:v>100</x:v>
      </x:c>
      <x:c r="H357" s="46" t="n">
        <x:f>B357-C357</x:f>
        <x:v>66</x:v>
      </x:c>
      <x:c r="I357" s="46" t="n">
        <x:f>LN((B357+1)/(C357+1))</x:f>
        <x:v>0.16537587994791958</x:v>
      </x:c>
      <x:c r="J357" t="str">
        <x:f>IF(A357&lt;"1997-06","Antes","Después")</x:f>
        <x:v>Después</x:v>
      </x:c>
      <x:c r="K357" t="str">
        <x:v>51025090</x:v>
      </x:c>
    </x:row>
    <x:row r="358">
      <x:c r="A358" t="str">
        <x:v>2016-04</x:v>
      </x:c>
      <x:c r="B358" s="44" t="n">
        <x:v>751</x:v>
      </x:c>
      <x:c r="C358" s="44" t="n">
        <x:v>492</x:v>
      </x:c>
      <x:c r="D358" t="n">
        <x:v>28</x:v>
      </x:c>
      <x:c r="E358" t="n">
        <x:v>30</x:v>
      </x:c>
      <x:c r="F358" s="46" t="n">
        <x:v>93.33</x:v>
      </x:c>
      <x:c r="G358" s="46" t="n">
        <x:v>100</x:v>
      </x:c>
      <x:c r="H358" s="46" t="n">
        <x:f>B358-C358</x:f>
        <x:v>259</x:v>
      </x:c>
      <x:c r="I358" s="46" t="n">
        <x:f>LN((B358+1)/(C358+1))</x:f>
        <x:v>0.4222271499071497</x:v>
      </x:c>
      <x:c r="J358" t="str">
        <x:f>IF(A358&lt;"1997-06","Antes","Después")</x:f>
        <x:v>Después</x:v>
      </x:c>
      <x:c r="K358" t="str">
        <x:v>51025090</x:v>
      </x:c>
    </x:row>
    <x:row r="359">
      <x:c r="A359" t="str">
        <x:v>2016-05</x:v>
      </x:c>
      <x:c r="B359" s="44" t="n">
        <x:v>734</x:v>
      </x:c>
      <x:c r="C359" s="44" t="n">
        <x:v>608.6</x:v>
      </x:c>
      <x:c r="D359" t="n">
        <x:v>31</x:v>
      </x:c>
      <x:c r="E359" t="n">
        <x:v>31</x:v>
      </x:c>
      <x:c r="F359" s="46" t="n">
        <x:v>100</x:v>
      </x:c>
      <x:c r="G359" s="46" t="n">
        <x:v>100</x:v>
      </x:c>
      <x:c r="H359" s="46" t="n">
        <x:f>B359-C359</x:f>
        <x:v>125.39999999999998</x:v>
      </x:c>
      <x:c r="I359" s="46" t="n">
        <x:f>LN((B359+1)/(C359+1))</x:f>
        <x:v>0.18706749484040003</x:v>
      </x:c>
      <x:c r="J359" t="str">
        <x:f>IF(A359&lt;"1997-06","Antes","Después")</x:f>
        <x:v>Después</x:v>
      </x:c>
      <x:c r="K359" t="str">
        <x:v>51025090</x:v>
      </x:c>
    </x:row>
    <x:row r="360">
      <x:c r="A360" t="str">
        <x:v>2016-06</x:v>
      </x:c>
      <x:c r="B360" s="44" t="n">
        <x:v>415</x:v>
      </x:c>
      <x:c r="C360" s="44" t="n">
        <x:v>577</x:v>
      </x:c>
      <x:c r="D360" t="n">
        <x:v>30</x:v>
      </x:c>
      <x:c r="E360" t="n">
        <x:v>30</x:v>
      </x:c>
      <x:c r="F360" s="46" t="n">
        <x:v>100</x:v>
      </x:c>
      <x:c r="G360" s="46" t="n">
        <x:v>100</x:v>
      </x:c>
      <x:c r="H360" s="46" t="n">
        <x:f>B360-C360</x:f>
        <x:v>-162</x:v>
      </x:c>
      <x:c r="I360" s="46" t="n">
        <x:f>LN((B360+1)/(C360+1))</x:f>
        <x:v>-0.3288886084111141</x:v>
      </x:c>
      <x:c r="J360" t="str">
        <x:f>IF(A360&lt;"1997-06","Antes","Después")</x:f>
        <x:v>Después</x:v>
      </x:c>
      <x:c r="K360" t="str">
        <x:v>51025090</x:v>
      </x:c>
    </x:row>
    <x:row r="361">
      <x:c r="A361" t="str">
        <x:v>2016-07</x:v>
      </x:c>
      <x:c r="B361" s="44" t="n">
        <x:v>197</x:v>
      </x:c>
      <x:c r="C361" s="44" t="n">
        <x:v>361.5</x:v>
      </x:c>
      <x:c r="D361" t="n">
        <x:v>31</x:v>
      </x:c>
      <x:c r="E361" t="n">
        <x:v>31</x:v>
      </x:c>
      <x:c r="F361" s="46" t="n">
        <x:v>100</x:v>
      </x:c>
      <x:c r="G361" s="46" t="n">
        <x:v>100</x:v>
      </x:c>
      <x:c r="H361" s="46" t="n">
        <x:f>B361-C361</x:f>
        <x:v>-164.5</x:v>
      </x:c>
      <x:c r="I361" s="46" t="n">
        <x:f>LN((B361+1)/(C361+1))</x:f>
        <x:v>-0.6047574436001942</x:v>
      </x:c>
      <x:c r="J361" t="str">
        <x:f>IF(A361&lt;"1997-06","Antes","Después")</x:f>
        <x:v>Después</x:v>
      </x:c>
      <x:c r="K361" t="str">
        <x:v>51025090</x:v>
      </x:c>
    </x:row>
    <x:row r="362">
      <x:c r="A362" t="str">
        <x:v>2016-08</x:v>
      </x:c>
      <x:c r="B362" s="44" t="n">
        <x:v>16</x:v>
      </x:c>
      <x:c r="C362" s="44" t="n">
        <x:v>65.6</x:v>
      </x:c>
      <x:c r="D362" t="n">
        <x:v>31</x:v>
      </x:c>
      <x:c r="E362" t="n">
        <x:v>31</x:v>
      </x:c>
      <x:c r="F362" s="46" t="n">
        <x:v>100</x:v>
      </x:c>
      <x:c r="G362" s="46" t="n">
        <x:v>100</x:v>
      </x:c>
      <x:c r="H362" s="46" t="n">
        <x:f>B362-C362</x:f>
        <x:v>-49.599999999999994</x:v>
      </x:c>
      <x:c r="I362" s="46" t="n">
        <x:f>LN((B362+1)/(C362+1))</x:f>
        <x:v>-1.3654912334901272</x:v>
      </x:c>
      <x:c r="J362" t="str">
        <x:f>IF(A362&lt;"1997-06","Antes","Después")</x:f>
        <x:v>Después</x:v>
      </x:c>
      <x:c r="K362" t="str">
        <x:v>51025090</x:v>
      </x:c>
    </x:row>
    <x:row r="363">
      <x:c r="A363" t="str">
        <x:v>2016-09</x:v>
      </x:c>
      <x:c r="B363" s="44" t="n">
        <x:v>223</x:v>
      </x:c>
      <x:c r="C363" s="44" t="n">
        <x:v>365.1</x:v>
      </x:c>
      <x:c r="D363" t="n">
        <x:v>30</x:v>
      </x:c>
      <x:c r="E363" t="n">
        <x:v>30</x:v>
      </x:c>
      <x:c r="F363" s="46" t="n">
        <x:v>100</x:v>
      </x:c>
      <x:c r="G363" s="46" t="n">
        <x:v>100</x:v>
      </x:c>
      <x:c r="H363" s="46" t="n">
        <x:f>B363-C363</x:f>
        <x:v>-142.10000000000002</x:v>
      </x:c>
      <x:c r="I363" s="46" t="n">
        <x:f>LN((B363+1)/(C363+1))</x:f>
        <x:v>-0.49126046827115066</x:v>
      </x:c>
      <x:c r="J363" t="str">
        <x:f>IF(A363&lt;"1997-06","Antes","Después")</x:f>
        <x:v>Después</x:v>
      </x:c>
      <x:c r="K363" t="str">
        <x:v>51025090</x:v>
      </x:c>
    </x:row>
    <x:row r="364">
      <x:c r="A364" t="str">
        <x:v>2016-10</x:v>
      </x:c>
      <x:c r="B364" s="44" t="n">
        <x:v>187</x:v>
      </x:c>
      <x:c r="C364" s="44" t="n">
        <x:v>171.5</x:v>
      </x:c>
      <x:c r="D364" t="n">
        <x:v>31</x:v>
      </x:c>
      <x:c r="E364" t="n">
        <x:v>31</x:v>
      </x:c>
      <x:c r="F364" s="46" t="n">
        <x:v>100</x:v>
      </x:c>
      <x:c r="G364" s="46" t="n">
        <x:v>100</x:v>
      </x:c>
      <x:c r="H364" s="46" t="n">
        <x:f>B364-C364</x:f>
        <x:v>15.5</x:v>
      </x:c>
      <x:c r="I364" s="46" t="n">
        <x:f>LN((B364+1)/(C364+1))</x:f>
        <x:v>0.08604472635853476</x:v>
      </x:c>
      <x:c r="J364" t="str">
        <x:f>IF(A364&lt;"1997-06","Antes","Después")</x:f>
        <x:v>Después</x:v>
      </x:c>
      <x:c r="K364" t="str">
        <x:v>51025090</x:v>
      </x:c>
    </x:row>
    <x:row r="365">
      <x:c r="A365" t="str">
        <x:v>2017-01</x:v>
      </x:c>
      <x:c r="B365" s="44" t="n">
        <x:v>397</x:v>
      </x:c>
      <x:c r="C365" s="44" t="n">
        <x:v>415.3</x:v>
      </x:c>
      <x:c r="D365" t="n">
        <x:v>31</x:v>
      </x:c>
      <x:c r="E365" t="n">
        <x:v>31</x:v>
      </x:c>
      <x:c r="F365" s="46" t="n">
        <x:v>100</x:v>
      </x:c>
      <x:c r="G365" s="46" t="n">
        <x:v>100</x:v>
      </x:c>
      <x:c r="H365" s="46" t="n">
        <x:f>B365-C365</x:f>
        <x:v>-18.30000000000001</x:v>
      </x:c>
      <x:c r="I365" s="46" t="n">
        <x:f>LN((B365+1)/(C365+1))</x:f>
        <x:v>-0.044954148916492034</x:v>
      </x:c>
      <x:c r="J365" t="str">
        <x:f>IF(A365&lt;"1997-06","Antes","Después")</x:f>
        <x:v>Después</x:v>
      </x:c>
      <x:c r="K365" t="str">
        <x:v>51025090</x:v>
      </x:c>
    </x:row>
    <x:row r="366">
      <x:c r="A366" t="str">
        <x:v>2017-02</x:v>
      </x:c>
      <x:c r="B366" s="44" t="n">
        <x:v>230</x:v>
      </x:c>
      <x:c r="C366" s="44" t="n">
        <x:v>124.2</x:v>
      </x:c>
      <x:c r="D366" t="n">
        <x:v>28</x:v>
      </x:c>
      <x:c r="E366" t="n">
        <x:v>28</x:v>
      </x:c>
      <x:c r="F366" s="46" t="n">
        <x:v>100</x:v>
      </x:c>
      <x:c r="G366" s="46" t="n">
        <x:v>100</x:v>
      </x:c>
      <x:c r="H366" s="46" t="n">
        <x:f>B366-C366</x:f>
        <x:v>105.8</x:v>
      </x:c>
      <x:c r="I366" s="46" t="n">
        <x:f>LN((B366+1)/(C366+1))</x:f>
        <x:v>0.6125052518557954</x:v>
      </x:c>
      <x:c r="J366" t="str">
        <x:f>IF(A366&lt;"1997-06","Antes","Después")</x:f>
        <x:v>Después</x:v>
      </x:c>
      <x:c r="K366" t="str">
        <x:v>51025090</x:v>
      </x:c>
    </x:row>
    <x:row r="367">
      <x:c r="A367" t="str">
        <x:v>2017-03</x:v>
      </x:c>
      <x:c r="B367" s="44" t="n">
        <x:v>233</x:v>
      </x:c>
      <x:c r="C367" s="44" t="n">
        <x:v>179.9</x:v>
      </x:c>
      <x:c r="D367" t="n">
        <x:v>31</x:v>
      </x:c>
      <x:c r="E367" t="n">
        <x:v>31</x:v>
      </x:c>
      <x:c r="F367" s="46" t="n">
        <x:v>100</x:v>
      </x:c>
      <x:c r="G367" s="46" t="n">
        <x:v>100</x:v>
      </x:c>
      <x:c r="H367" s="46" t="n">
        <x:f>B367-C367</x:f>
        <x:v>53.099999999999994</x:v>
      </x:c>
      <x:c r="I367" s="46" t="n">
        <x:f>LN((B367+1)/(C367+1))</x:f>
        <x:v>0.25737672295645186</x:v>
      </x:c>
      <x:c r="J367" t="str">
        <x:f>IF(A367&lt;"1997-06","Antes","Después")</x:f>
        <x:v>Después</x:v>
      </x:c>
      <x:c r="K367" t="str">
        <x:v>51025090</x:v>
      </x:c>
    </x:row>
    <x:row r="368">
      <x:c r="A368" t="str">
        <x:v>2017-04</x:v>
      </x:c>
      <x:c r="B368" s="44" t="n">
        <x:v>283</x:v>
      </x:c>
      <x:c r="C368" s="44" t="n">
        <x:v>448.3</x:v>
      </x:c>
      <x:c r="D368" t="n">
        <x:v>30</x:v>
      </x:c>
      <x:c r="E368" t="n">
        <x:v>30</x:v>
      </x:c>
      <x:c r="F368" s="46" t="n">
        <x:v>100</x:v>
      </x:c>
      <x:c r="G368" s="46" t="n">
        <x:v>100</x:v>
      </x:c>
      <x:c r="H368" s="46" t="n">
        <x:f>B368-C368</x:f>
        <x:v>-165.3</x:v>
      </x:c>
      <x:c r="I368" s="46" t="n">
        <x:f>LN((B368+1)/(C368+1))</x:f>
        <x:v>-0.4587165779149083</x:v>
      </x:c>
      <x:c r="J368" t="str">
        <x:f>IF(A368&lt;"1997-06","Antes","Después")</x:f>
        <x:v>Después</x:v>
      </x:c>
      <x:c r="K368" t="str">
        <x:v>51025090</x:v>
      </x:c>
    </x:row>
    <x:row r="369">
      <x:c r="A369" t="str">
        <x:v>2017-05</x:v>
      </x:c>
      <x:c r="B369" s="44" t="n">
        <x:v>894</x:v>
      </x:c>
      <x:c r="C369" s="44" t="n">
        <x:v>508</x:v>
      </x:c>
      <x:c r="D369" t="n">
        <x:v>31</x:v>
      </x:c>
      <x:c r="E369" t="n">
        <x:v>31</x:v>
      </x:c>
      <x:c r="F369" s="46" t="n">
        <x:v>100</x:v>
      </x:c>
      <x:c r="G369" s="46" t="n">
        <x:v>100</x:v>
      </x:c>
      <x:c r="H369" s="46" t="n">
        <x:f>B369-C369</x:f>
        <x:v>386</x:v>
      </x:c>
      <x:c r="I369" s="46" t="n">
        <x:f>LN((B369+1)/(C369+1))</x:f>
        <x:v>0.5643757017243327</x:v>
      </x:c>
      <x:c r="J369" t="str">
        <x:f>IF(A369&lt;"1997-06","Antes","Después")</x:f>
        <x:v>Después</x:v>
      </x:c>
      <x:c r="K369" t="str">
        <x:v>51025090</x:v>
      </x:c>
    </x:row>
    <x:row r="370">
      <x:c r="A370" t="str">
        <x:v>2017-06</x:v>
      </x:c>
      <x:c r="B370" s="44" t="n">
        <x:v>571</x:v>
      </x:c>
      <x:c r="C370" s="44" t="n">
        <x:v>530.4</x:v>
      </x:c>
      <x:c r="D370" t="n">
        <x:v>30</x:v>
      </x:c>
      <x:c r="E370" t="n">
        <x:v>30</x:v>
      </x:c>
      <x:c r="F370" s="46" t="n">
        <x:v>100</x:v>
      </x:c>
      <x:c r="G370" s="46" t="n">
        <x:v>100</x:v>
      </x:c>
      <x:c r="H370" s="46" t="n">
        <x:f>B370-C370</x:f>
        <x:v>40.60000000000002</x:v>
      </x:c>
      <x:c r="I370" s="46" t="n">
        <x:f>LN((B370+1)/(C370+1))</x:f>
        <x:v>0.07362395805408473</x:v>
      </x:c>
      <x:c r="J370" t="str">
        <x:f>IF(A370&lt;"1997-06","Antes","Después")</x:f>
        <x:v>Después</x:v>
      </x:c>
      <x:c r="K370" t="str">
        <x:v>51025090</x:v>
      </x:c>
    </x:row>
    <x:row r="371">
      <x:c r="A371" t="str">
        <x:v>2017-07</x:v>
      </x:c>
      <x:c r="B371" s="44" t="n">
        <x:v>98</x:v>
      </x:c>
      <x:c r="C371" s="44" t="n">
        <x:v>254</x:v>
      </x:c>
      <x:c r="D371" t="n">
        <x:v>31</x:v>
      </x:c>
      <x:c r="E371" t="n">
        <x:v>31</x:v>
      </x:c>
      <x:c r="F371" s="46" t="n">
        <x:v>100</x:v>
      </x:c>
      <x:c r="G371" s="46" t="n">
        <x:v>100</x:v>
      </x:c>
      <x:c r="H371" s="46" t="n">
        <x:f>B371-C371</x:f>
        <x:v>-156</x:v>
      </x:c>
      <x:c r="I371" s="46" t="n">
        <x:f>LN((B371+1)/(C371+1))</x:f>
        <x:v>-0.9461436950238362</x:v>
      </x:c>
      <x:c r="J371" t="str">
        <x:f>IF(A371&lt;"1997-06","Antes","Después")</x:f>
        <x:v>Después</x:v>
      </x:c>
      <x:c r="K371" t="str">
        <x:v>51025090</x:v>
      </x:c>
    </x:row>
    <x:row r="372">
      <x:c r="A372" t="str">
        <x:v>2017-08</x:v>
      </x:c>
      <x:c r="B372" s="44" t="n">
        <x:v>298</x:v>
      </x:c>
      <x:c r="C372" s="44" t="n">
        <x:v>249</x:v>
      </x:c>
      <x:c r="D372" t="n">
        <x:v>31</x:v>
      </x:c>
      <x:c r="E372" t="n">
        <x:v>31</x:v>
      </x:c>
      <x:c r="F372" s="46" t="n">
        <x:v>100</x:v>
      </x:c>
      <x:c r="G372" s="46" t="n">
        <x:v>100</x:v>
      </x:c>
      <x:c r="H372" s="46" t="n">
        <x:f>B372-C372</x:f>
        <x:v>49</x:v>
      </x:c>
      <x:c r="I372" s="46" t="n">
        <x:f>LN((B372+1)/(C372+1))</x:f>
        <x:v>0.17898265552843995</x:v>
      </x:c>
      <x:c r="J372" t="str">
        <x:f>IF(A372&lt;"1997-06","Antes","Después")</x:f>
        <x:v>Después</x:v>
      </x:c>
      <x:c r="K372" t="str">
        <x:v>51025090</x:v>
      </x:c>
    </x:row>
    <x:row r="373">
      <x:c r="A373" t="str">
        <x:v>2017-09</x:v>
      </x:c>
      <x:c r="B373" s="44" t="n">
        <x:v>225</x:v>
      </x:c>
      <x:c r="C373" s="44" t="n">
        <x:v>142.9</x:v>
      </x:c>
      <x:c r="D373" t="n">
        <x:v>30</x:v>
      </x:c>
      <x:c r="E373" t="n">
        <x:v>30</x:v>
      </x:c>
      <x:c r="F373" s="46" t="n">
        <x:v>100</x:v>
      </x:c>
      <x:c r="G373" s="46" t="n">
        <x:v>100</x:v>
      </x:c>
      <x:c r="H373" s="46" t="n">
        <x:f>B373-C373</x:f>
        <x:v>82.1</x:v>
      </x:c>
      <x:c r="I373" s="46" t="n">
        <x:f>LN((B373+1)/(C373+1))</x:f>
        <x:v>0.4514163853789638</x:v>
      </x:c>
      <x:c r="J373" t="str">
        <x:f>IF(A373&lt;"1997-06","Antes","Después")</x:f>
        <x:v>Después</x:v>
      </x:c>
      <x:c r="K373" t="str">
        <x:v>51025090</x:v>
      </x:c>
    </x:row>
    <x:row r="374">
      <x:c r="A374" t="str">
        <x:v>2017-10</x:v>
      </x:c>
      <x:c r="B374" s="44" t="n">
        <x:v>183</x:v>
      </x:c>
      <x:c r="C374" s="44" t="n">
        <x:v>156.8</x:v>
      </x:c>
      <x:c r="D374" t="n">
        <x:v>31</x:v>
      </x:c>
      <x:c r="E374" t="n">
        <x:v>31</x:v>
      </x:c>
      <x:c r="F374" s="46" t="n">
        <x:v>100</x:v>
      </x:c>
      <x:c r="G374" s="46" t="n">
        <x:v>100</x:v>
      </x:c>
      <x:c r="H374" s="46" t="n">
        <x:f>B374-C374</x:f>
        <x:v>26.19999999999999</x:v>
      </x:c>
      <x:c r="I374" s="46" t="n">
        <x:f>LN((B374+1)/(C374+1))</x:f>
        <x:v>0.1536073491972116</x:v>
      </x:c>
      <x:c r="J374" t="str">
        <x:f>IF(A374&lt;"1997-06","Antes","Después")</x:f>
        <x:v>Después</x:v>
      </x:c>
      <x:c r="K374" t="str">
        <x:v>51025090</x:v>
      </x:c>
    </x:row>
    <x:row r="375">
      <x:c r="A375" t="str">
        <x:v>2017-11</x:v>
      </x:c>
      <x:c r="B375" s="44" t="n">
        <x:v>20</x:v>
      </x:c>
      <x:c r="C375" s="44" t="n">
        <x:v>31.8</x:v>
      </x:c>
      <x:c r="D375" t="n">
        <x:v>30</x:v>
      </x:c>
      <x:c r="E375" t="n">
        <x:v>30</x:v>
      </x:c>
      <x:c r="F375" s="46" t="n">
        <x:v>100</x:v>
      </x:c>
      <x:c r="G375" s="46" t="n">
        <x:v>100</x:v>
      </x:c>
      <x:c r="H375" s="46" t="n">
        <x:f>B375-C375</x:f>
        <x:v>-11.8</x:v>
      </x:c>
      <x:c r="I375" s="46" t="n">
        <x:f>LN((B375+1)/(C375+1))</x:f>
        <x:v>-0.445906077666675</x:v>
      </x:c>
      <x:c r="J375" t="str">
        <x:f>IF(A375&lt;"1997-06","Antes","Después")</x:f>
        <x:v>Después</x:v>
      </x:c>
      <x:c r="K375" t="str">
        <x:v>51025090</x:v>
      </x:c>
    </x:row>
    <x:row r="376">
      <x:c r="A376" t="str">
        <x:v>2017-12</x:v>
      </x:c>
      <x:c r="B376" s="44" t="n">
        <x:v>264</x:v>
      </x:c>
      <x:c r="C376" s="44" t="n">
        <x:v>148.3</x:v>
      </x:c>
      <x:c r="D376" t="n">
        <x:v>31</x:v>
      </x:c>
      <x:c r="E376" t="n">
        <x:v>31</x:v>
      </x:c>
      <x:c r="F376" s="46" t="n">
        <x:v>100</x:v>
      </x:c>
      <x:c r="G376" s="46" t="n">
        <x:v>100</x:v>
      </x:c>
      <x:c r="H376" s="46" t="n">
        <x:f>B376-C376</x:f>
        <x:v>115.69999999999999</x:v>
      </x:c>
      <x:c r="I376" s="46" t="n">
        <x:f>LN((B376+1)/(C376+1))</x:f>
        <x:v>0.5737721214410774</x:v>
      </x:c>
      <x:c r="J376" t="str">
        <x:f>IF(A376&lt;"1997-06","Antes","Después")</x:f>
        <x:v>Después</x:v>
      </x:c>
      <x:c r="K376" t="str">
        <x:v>51025090</x:v>
      </x:c>
    </x:row>
    <x:row r="377">
      <x:c r="A377" t="str">
        <x:v>2018-01</x:v>
      </x:c>
      <x:c r="B377" s="44" t="n">
        <x:v>517</x:v>
      </x:c>
      <x:c r="C377" s="44" t="n">
        <x:v>354.4</x:v>
      </x:c>
      <x:c r="D377" t="n">
        <x:v>31</x:v>
      </x:c>
      <x:c r="E377" t="n">
        <x:v>31</x:v>
      </x:c>
      <x:c r="F377" s="46" t="n">
        <x:v>100</x:v>
      </x:c>
      <x:c r="G377" s="46" t="n">
        <x:v>100</x:v>
      </x:c>
      <x:c r="H377" s="46" t="n">
        <x:f>B377-C377</x:f>
        <x:v>162.60000000000002</x:v>
      </x:c>
      <x:c r="I377" s="46" t="n">
        <x:f>LN((B377+1)/(C377+1))</x:f>
        <x:v>0.3767313265389322</x:v>
      </x:c>
      <x:c r="J377" t="str">
        <x:f>IF(A377&lt;"1997-06","Antes","Después")</x:f>
        <x:v>Después</x:v>
      </x:c>
      <x:c r="K377" t="str">
        <x:v>51025090</x:v>
      </x:c>
    </x:row>
    <x:row r="378">
      <x:c r="A378" t="str">
        <x:v>2018-02</x:v>
      </x:c>
      <x:c r="B378" s="44" t="n">
        <x:v>259</x:v>
      </x:c>
      <x:c r="C378" s="44" t="n">
        <x:v>192.1</x:v>
      </x:c>
      <x:c r="D378" t="n">
        <x:v>28</x:v>
      </x:c>
      <x:c r="E378" t="n">
        <x:v>28</x:v>
      </x:c>
      <x:c r="F378" s="46" t="n">
        <x:v>100</x:v>
      </x:c>
      <x:c r="G378" s="46" t="n">
        <x:v>100</x:v>
      </x:c>
      <x:c r="H378" s="46" t="n">
        <x:f>B378-C378</x:f>
        <x:v>66.9</x:v>
      </x:c>
      <x:c r="I378" s="46" t="n">
        <x:f>LN((B378+1)/(C378+1))</x:f>
        <x:v>0.29747344158105893</x:v>
      </x:c>
      <x:c r="J378" t="str">
        <x:f>IF(A378&lt;"1997-06","Antes","Después")</x:f>
        <x:v>Después</x:v>
      </x:c>
      <x:c r="K378" t="str">
        <x:v>51025090</x:v>
      </x:c>
    </x:row>
    <x:row r="379">
      <x:c r="A379" t="str">
        <x:v>2018-03</x:v>
      </x:c>
      <x:c r="B379" s="44" t="n">
        <x:v>247</x:v>
      </x:c>
      <x:c r="C379" s="44" t="n">
        <x:v>299.3</x:v>
      </x:c>
      <x:c r="D379" t="n">
        <x:v>31</x:v>
      </x:c>
      <x:c r="E379" t="n">
        <x:v>31</x:v>
      </x:c>
      <x:c r="F379" s="46" t="n">
        <x:v>100</x:v>
      </x:c>
      <x:c r="G379" s="46" t="n">
        <x:v>100</x:v>
      </x:c>
      <x:c r="H379" s="46" t="n">
        <x:f>B379-C379</x:f>
        <x:v>-52.30000000000001</x:v>
      </x:c>
      <x:c r="I379" s="46" t="n">
        <x:f>LN((B379+1)/(C379+1))</x:f>
        <x:v>-0.1913532288243024</x:v>
      </x:c>
      <x:c r="J379" t="str">
        <x:f>IF(A379&lt;"1997-06","Antes","Después")</x:f>
        <x:v>Después</x:v>
      </x:c>
      <x:c r="K379" t="str">
        <x:v>51025090</x:v>
      </x:c>
    </x:row>
    <x:row r="380">
      <x:c r="A380" t="str">
        <x:v>2018-04</x:v>
      </x:c>
      <x:c r="B380" s="44" t="n">
        <x:v>240</x:v>
      </x:c>
      <x:c r="C380" s="44" t="n">
        <x:v>353.6</x:v>
      </x:c>
      <x:c r="D380" t="n">
        <x:v>30</x:v>
      </x:c>
      <x:c r="E380" t="n">
        <x:v>30</x:v>
      </x:c>
      <x:c r="F380" s="46" t="n">
        <x:v>100</x:v>
      </x:c>
      <x:c r="G380" s="46" t="n">
        <x:v>100</x:v>
      </x:c>
      <x:c r="H380" s="46" t="n">
        <x:f>B380-C380</x:f>
        <x:v>-113.60000000000002</x:v>
      </x:c>
      <x:c r="I380" s="46" t="n">
        <x:f>LN((B380+1)/(C380+1))</x:f>
        <x:v>-0.38619346014945255</x:v>
      </x:c>
      <x:c r="J380" t="str">
        <x:f>IF(A380&lt;"1997-06","Antes","Después")</x:f>
        <x:v>Después</x:v>
      </x:c>
      <x:c r="K380" t="str">
        <x:v>51025090</x:v>
      </x:c>
    </x:row>
    <x:row r="381">
      <x:c r="A381" t="str">
        <x:v>2018-05</x:v>
      </x:c>
      <x:c r="B381" s="44" t="n">
        <x:v>618</x:v>
      </x:c>
      <x:c r="C381" s="44" t="n">
        <x:v>688.7</x:v>
      </x:c>
      <x:c r="D381" t="n">
        <x:v>31</x:v>
      </x:c>
      <x:c r="E381" t="n">
        <x:v>31</x:v>
      </x:c>
      <x:c r="F381" s="46" t="n">
        <x:v>100</x:v>
      </x:c>
      <x:c r="G381" s="46" t="n">
        <x:v>100</x:v>
      </x:c>
      <x:c r="H381" s="46" t="n">
        <x:f>B381-C381</x:f>
        <x:v>-70.70000000000005</x:v>
      </x:c>
      <x:c r="I381" s="46" t="n">
        <x:f>LN((B381+1)/(C381+1))</x:f>
        <x:v>-0.10815144775264954</x:v>
      </x:c>
      <x:c r="J381" t="str">
        <x:f>IF(A381&lt;"1997-06","Antes","Después")</x:f>
        <x:v>Después</x:v>
      </x:c>
      <x:c r="K381" t="str">
        <x:v>51025090</x:v>
      </x:c>
    </x:row>
    <x:row r="382">
      <x:c r="A382" t="str">
        <x:v>2018-06</x:v>
      </x:c>
      <x:c r="B382" s="44" t="n">
        <x:v>160</x:v>
      </x:c>
      <x:c r="C382" s="44" t="n">
        <x:v>167</x:v>
      </x:c>
      <x:c r="D382" t="n">
        <x:v>30</x:v>
      </x:c>
      <x:c r="E382" t="n">
        <x:v>30</x:v>
      </x:c>
      <x:c r="F382" s="46" t="n">
        <x:v>100</x:v>
      </x:c>
      <x:c r="G382" s="46" t="n">
        <x:v>100</x:v>
      </x:c>
      <x:c r="H382" s="46" t="n">
        <x:f>B382-C382</x:f>
        <x:v>-7</x:v>
      </x:c>
      <x:c r="I382" s="46" t="n">
        <x:f>LN((B382+1)/(C382+1))</x:f>
        <x:v>-0.04255961441879589</x:v>
      </x:c>
      <x:c r="J382" t="str">
        <x:f>IF(A382&lt;"1997-06","Antes","Después")</x:f>
        <x:v>Después</x:v>
      </x:c>
      <x:c r="K382" t="str">
        <x:v>51025090</x:v>
      </x:c>
    </x:row>
    <x:row r="383">
      <x:c r="A383" t="str">
        <x:v>2018-07</x:v>
      </x:c>
      <x:c r="B383" s="44" t="n">
        <x:v>49</x:v>
      </x:c>
      <x:c r="C383" s="44" t="n">
        <x:v>83.2</x:v>
      </x:c>
      <x:c r="D383" t="n">
        <x:v>30</x:v>
      </x:c>
      <x:c r="E383" t="n">
        <x:v>31</x:v>
      </x:c>
      <x:c r="F383" s="46" t="n">
        <x:v>96.77</x:v>
      </x:c>
      <x:c r="G383" s="46" t="n">
        <x:v>100</x:v>
      </x:c>
      <x:c r="H383" s="46" t="n">
        <x:f>B383-C383</x:f>
        <x:v>-34.2</x:v>
      </x:c>
      <x:c r="I383" s="46" t="n">
        <x:f>LN((B383+1)/(C383+1))</x:f>
        <x:v>-0.521171915820135</x:v>
      </x:c>
      <x:c r="J383" t="str">
        <x:f>IF(A383&lt;"1997-06","Antes","Después")</x:f>
        <x:v>Después</x:v>
      </x:c>
      <x:c r="K383" t="str">
        <x:v>51025090</x:v>
      </x:c>
    </x:row>
    <x:row r="384">
      <x:c r="A384" t="str">
        <x:v>2018-08</x:v>
      </x:c>
      <x:c r="B384" s="44" t="n">
        <x:v>21</x:v>
      </x:c>
      <x:c r="C384" s="44" t="n">
        <x:v>30.9</x:v>
      </x:c>
      <x:c r="D384" t="n">
        <x:v>31</x:v>
      </x:c>
      <x:c r="E384" t="n">
        <x:v>31</x:v>
      </x:c>
      <x:c r="F384" s="46" t="n">
        <x:v>100</x:v>
      </x:c>
      <x:c r="G384" s="46" t="n">
        <x:v>100</x:v>
      </x:c>
      <x:c r="H384" s="46" t="n">
        <x:f>B384-C384</x:f>
        <x:v>-9.899999999999999</x:v>
      </x:c>
      <x:c r="I384" s="46" t="n">
        <x:f>LN((B384+1)/(C384+1))</x:f>
        <x:v>-0.37156355643248296</x:v>
      </x:c>
      <x:c r="J384" t="str">
        <x:f>IF(A384&lt;"1997-06","Antes","Después")</x:f>
        <x:v>Después</x:v>
      </x:c>
      <x:c r="K384" t="str">
        <x:v>51025090</x:v>
      </x:c>
    </x:row>
    <x:row r="385">
      <x:c r="A385" t="str">
        <x:v>2018-09</x:v>
      </x:c>
      <x:c r="B385" s="44" t="n">
        <x:v>66</x:v>
      </x:c>
      <x:c r="C385" s="44" t="n">
        <x:v>156</x:v>
      </x:c>
      <x:c r="D385" t="n">
        <x:v>30</x:v>
      </x:c>
      <x:c r="E385" t="n">
        <x:v>30</x:v>
      </x:c>
      <x:c r="F385" s="46" t="n">
        <x:v>100</x:v>
      </x:c>
      <x:c r="G385" s="46" t="n">
        <x:v>100</x:v>
      </x:c>
      <x:c r="H385" s="46" t="n">
        <x:f>B385-C385</x:f>
        <x:v>-90</x:v>
      </x:c>
      <x:c r="I385" s="46" t="n">
        <x:f>LN((B385+1)/(C385+1))</x:f>
        <x:v>-0.851553185957342</x:v>
      </x:c>
      <x:c r="J385" t="str">
        <x:f>IF(A385&lt;"1997-06","Antes","Después")</x:f>
        <x:v>Después</x:v>
      </x:c>
      <x:c r="K385" t="str">
        <x:v>51025090</x:v>
      </x:c>
    </x:row>
    <x:row r="386">
      <x:c r="A386" t="str">
        <x:v>2018-10</x:v>
      </x:c>
      <x:c r="B386" s="44" t="n">
        <x:v>85</x:v>
      </x:c>
      <x:c r="C386" s="44" t="n">
        <x:v>62.7</x:v>
      </x:c>
      <x:c r="D386" t="n">
        <x:v>30</x:v>
      </x:c>
      <x:c r="E386" t="n">
        <x:v>31</x:v>
      </x:c>
      <x:c r="F386" s="46" t="n">
        <x:v>96.77</x:v>
      </x:c>
      <x:c r="G386" s="46" t="n">
        <x:v>100</x:v>
      </x:c>
      <x:c r="H386" s="46" t="n">
        <x:f>B386-C386</x:f>
        <x:v>22.299999999999997</x:v>
      </x:c>
      <x:c r="I386" s="46" t="n">
        <x:f>LN((B386+1)/(C386+1))</x:f>
        <x:v>0.30016273367539004</x:v>
      </x:c>
      <x:c r="J386" t="str">
        <x:f>IF(A386&lt;"1997-06","Antes","Después")</x:f>
        <x:v>Después</x:v>
      </x:c>
      <x:c r="K386" t="str">
        <x:v>51025090</x:v>
      </x:c>
    </x:row>
    <x:row r="387">
      <x:c r="A387" t="str">
        <x:v>2018-11</x:v>
      </x:c>
      <x:c r="B387" s="44" t="n">
        <x:v>267</x:v>
      </x:c>
      <x:c r="C387" s="44" t="n">
        <x:v>128.5</x:v>
      </x:c>
      <x:c r="D387" t="n">
        <x:v>29</x:v>
      </x:c>
      <x:c r="E387" t="n">
        <x:v>30</x:v>
      </x:c>
      <x:c r="F387" s="46" t="n">
        <x:v>96.67</x:v>
      </x:c>
      <x:c r="G387" s="46" t="n">
        <x:v>100</x:v>
      </x:c>
      <x:c r="H387" s="46" t="n">
        <x:f>B387-C387</x:f>
        <x:v>138.5</x:v>
      </x:c>
      <x:c r="I387" s="46" t="n">
        <x:f>LN((B387+1)/(C387+1))</x:f>
        <x:v>0.7273060993712642</x:v>
      </x:c>
      <x:c r="J387" t="str">
        <x:f>IF(A387&lt;"1997-06","Antes","Después")</x:f>
        <x:v>Después</x:v>
      </x:c>
      <x:c r="K387" t="str">
        <x:v>51025090</x:v>
      </x:c>
    </x:row>
    <x:row r="388">
      <x:c r="A388" t="str">
        <x:v>2018-12</x:v>
      </x:c>
      <x:c r="B388" s="44" t="n">
        <x:v>204</x:v>
      </x:c>
      <x:c r="C388" s="44" t="n">
        <x:v>222</x:v>
      </x:c>
      <x:c r="D388" t="n">
        <x:v>31</x:v>
      </x:c>
      <x:c r="E388" t="n">
        <x:v>31</x:v>
      </x:c>
      <x:c r="F388" s="46" t="n">
        <x:v>100</x:v>
      </x:c>
      <x:c r="G388" s="46" t="n">
        <x:v>100</x:v>
      </x:c>
      <x:c r="H388" s="46" t="n">
        <x:f>B388-C388</x:f>
        <x:v>-18</x:v>
      </x:c>
      <x:c r="I388" s="46" t="n">
        <x:f>LN((B388+1)/(C388+1))</x:f>
        <x:v>-0.08416179232171059</x:v>
      </x:c>
      <x:c r="J388" t="str">
        <x:f>IF(A388&lt;"1997-06","Antes","Después")</x:f>
        <x:v>Después</x:v>
      </x:c>
      <x:c r="K388" t="str">
        <x:v>51025090</x:v>
      </x:c>
    </x:row>
    <x:row r="389">
      <x:c r="A389" t="str">
        <x:v>2019-01</x:v>
      </x:c>
      <x:c r="B389" s="44" t="n">
        <x:v>269</x:v>
      </x:c>
      <x:c r="C389" s="44" t="n">
        <x:v>262.8</x:v>
      </x:c>
      <x:c r="D389" t="n">
        <x:v>31</x:v>
      </x:c>
      <x:c r="E389" t="n">
        <x:v>31</x:v>
      </x:c>
      <x:c r="F389" s="46" t="n">
        <x:v>100</x:v>
      </x:c>
      <x:c r="G389" s="46" t="n">
        <x:v>100</x:v>
      </x:c>
      <x:c r="H389" s="46" t="n">
        <x:f>B389-C389</x:f>
        <x:v>6.199999999999989</x:v>
      </x:c>
      <x:c r="I389" s="46" t="n">
        <x:f>LN((B389+1)/(C389+1))</x:f>
        <x:v>0.02323071871516044</x:v>
      </x:c>
      <x:c r="J389" t="str">
        <x:f>IF(A389&lt;"1997-06","Antes","Después")</x:f>
        <x:v>Después</x:v>
      </x:c>
      <x:c r="K389" t="str">
        <x:v>51025090</x:v>
      </x:c>
    </x:row>
    <x:row r="390">
      <x:c r="A390" t="str">
        <x:v>2019-02</x:v>
      </x:c>
      <x:c r="B390" s="44" t="n">
        <x:v>477</x:v>
      </x:c>
      <x:c r="C390" s="44" t="n">
        <x:v>295.5</x:v>
      </x:c>
      <x:c r="D390" t="n">
        <x:v>28</x:v>
      </x:c>
      <x:c r="E390" t="n">
        <x:v>28</x:v>
      </x:c>
      <x:c r="F390" s="46" t="n">
        <x:v>100</x:v>
      </x:c>
      <x:c r="G390" s="46" t="n">
        <x:v>100</x:v>
      </x:c>
      <x:c r="H390" s="46" t="n">
        <x:f>B390-C390</x:f>
        <x:v>181.5</x:v>
      </x:c>
      <x:c r="I390" s="46" t="n">
        <x:f>LN((B390+1)/(C390+1))</x:f>
        <x:v>0.4775635140536758</x:v>
      </x:c>
      <x:c r="J390" t="str">
        <x:f>IF(A390&lt;"1997-06","Antes","Después")</x:f>
        <x:v>Después</x:v>
      </x:c>
      <x:c r="K390" t="str">
        <x:v>51025090</x:v>
      </x:c>
    </x:row>
    <x:row r="391">
      <x:c r="A391" t="str">
        <x:v>2019-03</x:v>
      </x:c>
      <x:c r="B391" s="44" t="n">
        <x:v>212</x:v>
      </x:c>
      <x:c r="C391" s="44" t="n">
        <x:v>236.1</x:v>
      </x:c>
      <x:c r="D391" t="n">
        <x:v>31</x:v>
      </x:c>
      <x:c r="E391" t="n">
        <x:v>31</x:v>
      </x:c>
      <x:c r="F391" s="46" t="n">
        <x:v>100</x:v>
      </x:c>
      <x:c r="G391" s="46" t="n">
        <x:v>100</x:v>
      </x:c>
      <x:c r="H391" s="46" t="n">
        <x:f>B391-C391</x:f>
        <x:v>-24.099999999999994</x:v>
      </x:c>
      <x:c r="I391" s="46" t="n">
        <x:f>LN((B391+1)/(C391+1))</x:f>
        <x:v>-0.10718982736193468</x:v>
      </x:c>
      <x:c r="J391" t="str">
        <x:f>IF(A391&lt;"1997-06","Antes","Después")</x:f>
        <x:v>Después</x:v>
      </x:c>
      <x:c r="K391" t="str">
        <x:v>51025090</x:v>
      </x:c>
    </x:row>
    <x:row r="392">
      <x:c r="A392" t="str">
        <x:v>2019-04</x:v>
      </x:c>
      <x:c r="B392" s="44" t="n">
        <x:v>294</x:v>
      </x:c>
      <x:c r="C392" s="44" t="n">
        <x:v>188.7</x:v>
      </x:c>
      <x:c r="D392" t="n">
        <x:v>29</x:v>
      </x:c>
      <x:c r="E392" t="n">
        <x:v>30</x:v>
      </x:c>
      <x:c r="F392" s="46" t="n">
        <x:v>96.67</x:v>
      </x:c>
      <x:c r="G392" s="46" t="n">
        <x:v>100</x:v>
      </x:c>
      <x:c r="H392" s="46" t="n">
        <x:f>B392-C392</x:f>
        <x:v>105.30000000000001</x:v>
      </x:c>
      <x:c r="I392" s="46" t="n">
        <x:f>LN((B392+1)/(C392+1))</x:f>
        <x:v>0.4415314793988513</x:v>
      </x:c>
      <x:c r="J392" t="str">
        <x:f>IF(A392&lt;"1997-06","Antes","Después")</x:f>
        <x:v>Después</x:v>
      </x:c>
      <x:c r="K392" t="str">
        <x:v>51025090</x:v>
      </x:c>
    </x:row>
    <x:row r="393">
      <x:c r="A393" t="str">
        <x:v>2019-08</x:v>
      </x:c>
      <x:c r="B393" s="44" t="n">
        <x:v>86</x:v>
      </x:c>
      <x:c r="C393" s="44" t="n">
        <x:v>94.4</x:v>
      </x:c>
      <x:c r="D393" t="n">
        <x:v>31</x:v>
      </x:c>
      <x:c r="E393" t="n">
        <x:v>31</x:v>
      </x:c>
      <x:c r="F393" s="46" t="n">
        <x:v>100</x:v>
      </x:c>
      <x:c r="G393" s="46" t="n">
        <x:v>100</x:v>
      </x:c>
      <x:c r="H393" s="46" t="n">
        <x:f>B393-C393</x:f>
        <x:v>-8.400000000000006</x:v>
      </x:c>
      <x:c r="I393" s="46" t="n">
        <x:f>LN((B393+1)/(C393+1))</x:f>
        <x:v>-0.09217045979965723</x:v>
      </x:c>
      <x:c r="J393" t="str">
        <x:f>IF(A393&lt;"1997-06","Antes","Después")</x:f>
        <x:v>Después</x:v>
      </x:c>
      <x:c r="K393" t="str">
        <x:v>51025090</x:v>
      </x:c>
    </x:row>
    <x:row r="394">
      <x:c r="A394" t="str">
        <x:v>2019-09</x:v>
      </x:c>
      <x:c r="B394" s="44" t="n">
        <x:v>146</x:v>
      </x:c>
      <x:c r="C394" s="44" t="n">
        <x:v>97.1</x:v>
      </x:c>
      <x:c r="D394" t="n">
        <x:v>30</x:v>
      </x:c>
      <x:c r="E394" t="n">
        <x:v>30</x:v>
      </x:c>
      <x:c r="F394" s="46" t="n">
        <x:v>100</x:v>
      </x:c>
      <x:c r="G394" s="46" t="n">
        <x:v>100</x:v>
      </x:c>
      <x:c r="H394" s="46" t="n">
        <x:f>B394-C394</x:f>
        <x:v>48.900000000000006</x:v>
      </x:c>
      <x:c r="I394" s="46" t="n">
        <x:f>LN((B394+1)/(C394+1))</x:f>
        <x:v>0.4044452202074189</x:v>
      </x:c>
      <x:c r="J394" t="str">
        <x:f>IF(A394&lt;"1997-06","Antes","Después")</x:f>
        <x:v>Después</x:v>
      </x:c>
      <x:c r="K394" t="str">
        <x:v>51025090</x:v>
      </x:c>
    </x:row>
    <x:row r="395">
      <x:c r="A395" t="str">
        <x:v>2019-10</x:v>
      </x:c>
      <x:c r="B395" s="44" t="n">
        <x:v>273</x:v>
      </x:c>
      <x:c r="C395" s="44" t="n">
        <x:v>438.5</x:v>
      </x:c>
      <x:c r="D395" t="n">
        <x:v>31</x:v>
      </x:c>
      <x:c r="E395" t="n">
        <x:v>31</x:v>
      </x:c>
      <x:c r="F395" s="46" t="n">
        <x:v>100</x:v>
      </x:c>
      <x:c r="G395" s="46" t="n">
        <x:v>100</x:v>
      </x:c>
      <x:c r="H395" s="46" t="n">
        <x:f>B395-C395</x:f>
        <x:v>-165.5</x:v>
      </x:c>
      <x:c r="I395" s="46" t="n">
        <x:f>LN((B395+1)/(C395+1))</x:f>
        <x:v>-0.4725096107371614</x:v>
      </x:c>
      <x:c r="J395" t="str">
        <x:f>IF(A395&lt;"1997-06","Antes","Después")</x:f>
        <x:v>Después</x:v>
      </x:c>
      <x:c r="K395" t="str">
        <x:v>51025090</x:v>
      </x:c>
    </x:row>
    <x:row r="396">
      <x:c r="A396" t="str">
        <x:v>2019-11</x:v>
      </x:c>
      <x:c r="B396" s="44" t="n">
        <x:v>101</x:v>
      </x:c>
      <x:c r="C396" s="44" t="n">
        <x:v>69.8</x:v>
      </x:c>
      <x:c r="D396" t="n">
        <x:v>29</x:v>
      </x:c>
      <x:c r="E396" t="n">
        <x:v>30</x:v>
      </x:c>
      <x:c r="F396" s="46" t="n">
        <x:v>96.67</x:v>
      </x:c>
      <x:c r="G396" s="46" t="n">
        <x:v>100</x:v>
      </x:c>
      <x:c r="H396" s="46" t="n">
        <x:f>B396-C396</x:f>
        <x:v>31.200000000000003</x:v>
      </x:c>
      <x:c r="I396" s="46" t="n">
        <x:f>LN((B396+1)/(C396+1))</x:f>
        <x:v>0.36511381258459713</x:v>
      </x:c>
      <x:c r="J396" t="str">
        <x:f>IF(A396&lt;"1997-06","Antes","Después")</x:f>
        <x:v>Después</x:v>
      </x:c>
      <x:c r="K396" t="str">
        <x:v>51025090</x:v>
      </x:c>
    </x:row>
    <x:row r="397">
      <x:c r="A397" t="str">
        <x:v>2019-12</x:v>
      </x:c>
      <x:c r="B397" s="44" t="n">
        <x:v>334</x:v>
      </x:c>
      <x:c r="C397" s="44" t="n">
        <x:v>261.1</x:v>
      </x:c>
      <x:c r="D397" t="n">
        <x:v>31</x:v>
      </x:c>
      <x:c r="E397" t="n">
        <x:v>31</x:v>
      </x:c>
      <x:c r="F397" s="46" t="n">
        <x:v>100</x:v>
      </x:c>
      <x:c r="G397" s="46" t="n">
        <x:v>100</x:v>
      </x:c>
      <x:c r="H397" s="46" t="n">
        <x:f>B397-C397</x:f>
        <x:v>72.89999999999998</x:v>
      </x:c>
      <x:c r="I397" s="46" t="n">
        <x:f>LN((B397+1)/(C397+1))</x:f>
        <x:v>0.24540442149570574</x:v>
      </x:c>
      <x:c r="J397" t="str">
        <x:f>IF(A397&lt;"1997-06","Antes","Después")</x:f>
        <x:v>Después</x:v>
      </x:c>
      <x:c r="K397" t="str">
        <x:v>51025090</x:v>
      </x:c>
    </x:row>
    <x:row r="398">
      <x:c r="A398" t="str">
        <x:v>2020-01</x:v>
      </x:c>
      <x:c r="B398" s="44" t="n">
        <x:v>477</x:v>
      </x:c>
      <x:c r="C398" s="44" t="n">
        <x:v>370.3</x:v>
      </x:c>
      <x:c r="D398" t="n">
        <x:v>31</x:v>
      </x:c>
      <x:c r="E398" t="n">
        <x:v>31</x:v>
      </x:c>
      <x:c r="F398" s="46" t="n">
        <x:v>100</x:v>
      </x:c>
      <x:c r="G398" s="46" t="n">
        <x:v>100</x:v>
      </x:c>
      <x:c r="H398" s="46" t="n">
        <x:f>B398-C398</x:f>
        <x:v>106.69999999999999</x:v>
      </x:c>
      <x:c r="I398" s="46" t="n">
        <x:f>LN((B398+1)/(C398+1))</x:f>
        <x:v>0.2526003713084216</x:v>
      </x:c>
      <x:c r="J398" t="str">
        <x:f>IF(A398&lt;"1997-06","Antes","Después")</x:f>
        <x:v>Después</x:v>
      </x:c>
      <x:c r="K398" t="str">
        <x:v>51025090</x:v>
      </x:c>
    </x:row>
    <x:row r="399">
      <x:c r="A399" t="str">
        <x:v>2020-02</x:v>
      </x:c>
      <x:c r="B399" s="44" t="n">
        <x:v>245</x:v>
      </x:c>
      <x:c r="C399" s="44" t="n">
        <x:v>330.1</x:v>
      </x:c>
      <x:c r="D399" t="n">
        <x:v>29</x:v>
      </x:c>
      <x:c r="E399" t="n">
        <x:v>29</x:v>
      </x:c>
      <x:c r="F399" s="46" t="n">
        <x:v>100</x:v>
      </x:c>
      <x:c r="G399" s="46" t="n">
        <x:v>100</x:v>
      </x:c>
      <x:c r="H399" s="46" t="n">
        <x:f>B399-C399</x:f>
        <x:v>-85.10000000000002</x:v>
      </x:c>
      <x:c r="I399" s="46" t="n">
        <x:f>LN((B399+1)/(C399+1))</x:f>
        <x:v>-0.2970889086208378</x:v>
      </x:c>
      <x:c r="J399" t="str">
        <x:f>IF(A399&lt;"1997-06","Antes","Después")</x:f>
        <x:v>Después</x:v>
      </x:c>
      <x:c r="K399" t="str">
        <x:v>51025090</x:v>
      </x:c>
    </x:row>
    <x:row r="400">
      <x:c r="A400" t="str">
        <x:v>2020-03</x:v>
      </x:c>
      <x:c r="B400" s="44" t="n">
        <x:v>340</x:v>
      </x:c>
      <x:c r="C400" s="44" t="n">
        <x:v>268.5</x:v>
      </x:c>
      <x:c r="D400" t="n">
        <x:v>30</x:v>
      </x:c>
      <x:c r="E400" t="n">
        <x:v>31</x:v>
      </x:c>
      <x:c r="F400" s="46" t="n">
        <x:v>96.77</x:v>
      </x:c>
      <x:c r="G400" s="46" t="n">
        <x:v>100</x:v>
      </x:c>
      <x:c r="H400" s="46" t="n">
        <x:f>B400-C400</x:f>
        <x:v>71.5</x:v>
      </x:c>
      <x:c r="I400" s="46" t="n">
        <x:f>LN((B400+1)/(C400+1))</x:f>
        <x:v>0.235314086934465</x:v>
      </x:c>
      <x:c r="J400" t="str">
        <x:f>IF(A400&lt;"1997-06","Antes","Después")</x:f>
        <x:v>Después</x:v>
      </x:c>
      <x:c r="K400" t="str">
        <x:v>51025090</x:v>
      </x:c>
    </x:row>
    <x:row r="401">
      <x:c r="A401" t="str">
        <x:v>2020-04</x:v>
      </x:c>
      <x:c r="B401" s="44" t="n">
        <x:v>269</x:v>
      </x:c>
      <x:c r="C401" s="44" t="n">
        <x:v>220.2</x:v>
      </x:c>
      <x:c r="D401" t="n">
        <x:v>30</x:v>
      </x:c>
      <x:c r="E401" t="n">
        <x:v>30</x:v>
      </x:c>
      <x:c r="F401" s="46" t="n">
        <x:v>100</x:v>
      </x:c>
      <x:c r="G401" s="46" t="n">
        <x:v>100</x:v>
      </x:c>
      <x:c r="H401" s="46" t="n">
        <x:f>B401-C401</x:f>
        <x:v>48.80000000000001</x:v>
      </x:c>
      <x:c r="I401" s="46" t="n">
        <x:f>LN((B401+1)/(C401+1))</x:f>
        <x:v>0.19935468935019515</x:v>
      </x:c>
      <x:c r="J401" t="str">
        <x:f>IF(A401&lt;"1997-06","Antes","Después")</x:f>
        <x:v>Después</x:v>
      </x:c>
      <x:c r="K401" t="str">
        <x:v>51025090</x:v>
      </x:c>
    </x:row>
    <x:row r="402">
      <x:c r="A402" t="str">
        <x:v>2020-05</x:v>
      </x:c>
      <x:c r="B402" s="44" t="n">
        <x:v>506</x:v>
      </x:c>
      <x:c r="C402" s="44" t="n">
        <x:v>534.3</x:v>
      </x:c>
      <x:c r="D402" t="n">
        <x:v>31</x:v>
      </x:c>
      <x:c r="E402" t="n">
        <x:v>31</x:v>
      </x:c>
      <x:c r="F402" s="46" t="n">
        <x:v>100</x:v>
      </x:c>
      <x:c r="G402" s="46" t="n">
        <x:v>100</x:v>
      </x:c>
      <x:c r="H402" s="46" t="n">
        <x:f>B402-C402</x:f>
        <x:v>-28.299999999999955</x:v>
      </x:c>
      <x:c r="I402" s="46" t="n">
        <x:f>LN((B402+1)/(C402+1))</x:f>
        <x:v>-0.05431633380815233</x:v>
      </x:c>
      <x:c r="J402" t="str">
        <x:f>IF(A402&lt;"1997-06","Antes","Después")</x:f>
        <x:v>Después</x:v>
      </x:c>
      <x:c r="K402" t="str">
        <x:v>51025090</x:v>
      </x:c>
    </x:row>
    <x:row r="403">
      <x:c r="A403" t="str">
        <x:v>2020-06</x:v>
      </x:c>
      <x:c r="B403" s="44" t="n">
        <x:v>416</x:v>
      </x:c>
      <x:c r="C403" s="44" t="n">
        <x:v>372.7</x:v>
      </x:c>
      <x:c r="D403" t="n">
        <x:v>30</x:v>
      </x:c>
      <x:c r="E403" t="n">
        <x:v>30</x:v>
      </x:c>
      <x:c r="F403" s="46" t="n">
        <x:v>100</x:v>
      </x:c>
      <x:c r="G403" s="46" t="n">
        <x:v>100</x:v>
      </x:c>
      <x:c r="H403" s="46" t="n">
        <x:f>B403-C403</x:f>
        <x:v>43.30000000000001</x:v>
      </x:c>
      <x:c r="I403" s="46" t="n">
        <x:f>LN((B403+1)/(C403+1))</x:f>
        <x:v>0.10963288530736323</x:v>
      </x:c>
      <x:c r="J403" t="str">
        <x:f>IF(A403&lt;"1997-06","Antes","Después")</x:f>
        <x:v>Después</x:v>
      </x:c>
      <x:c r="K403" t="str">
        <x:v>51025090</x:v>
      </x:c>
    </x:row>
    <x:row r="404">
      <x:c r="A404" t="str">
        <x:v>2020-07</x:v>
      </x:c>
      <x:c r="B404" s="44" t="n">
        <x:v>390</x:v>
      </x:c>
      <x:c r="C404" s="44" t="n">
        <x:v>290.9</x:v>
      </x:c>
      <x:c r="D404" t="n">
        <x:v>31</x:v>
      </x:c>
      <x:c r="E404" t="n">
        <x:v>31</x:v>
      </x:c>
      <x:c r="F404" s="46" t="n">
        <x:v>100</x:v>
      </x:c>
      <x:c r="G404" s="46" t="n">
        <x:v>100</x:v>
      </x:c>
      <x:c r="H404" s="46" t="n">
        <x:f>B404-C404</x:f>
        <x:v>99.10000000000002</x:v>
      </x:c>
      <x:c r="I404" s="46" t="n">
        <x:f>LN((B404+1)/(C404+1))</x:f>
        <x:v>0.29229628212529674</x:v>
      </x:c>
      <x:c r="J404" t="str">
        <x:f>IF(A404&lt;"1997-06","Antes","Después")</x:f>
        <x:v>Después</x:v>
      </x:c>
      <x:c r="K404" t="str">
        <x:v>51025090</x:v>
      </x:c>
    </x:row>
    <x:row r="405">
      <x:c r="A405" t="str">
        <x:v>2020-08</x:v>
      </x:c>
      <x:c r="B405" s="44" t="n">
        <x:v>87</x:v>
      </x:c>
      <x:c r="C405" s="44" t="n">
        <x:v>69</x:v>
      </x:c>
      <x:c r="D405" t="n">
        <x:v>30</x:v>
      </x:c>
      <x:c r="E405" t="n">
        <x:v>31</x:v>
      </x:c>
      <x:c r="F405" s="46" t="n">
        <x:v>96.77</x:v>
      </x:c>
      <x:c r="G405" s="46" t="n">
        <x:v>100</x:v>
      </x:c>
      <x:c r="H405" s="46" t="n">
        <x:f>B405-C405</x:f>
        <x:v>18</x:v>
      </x:c>
      <x:c r="I405" s="46" t="n">
        <x:f>LN((B405+1)/(C405+1))</x:f>
        <x:v>0.22884157242884745</x:v>
      </x:c>
      <x:c r="J405" t="str">
        <x:f>IF(A405&lt;"1997-06","Antes","Después")</x:f>
        <x:v>Después</x:v>
      </x:c>
      <x:c r="K405" t="str">
        <x:v>51025090</x:v>
      </x:c>
    </x:row>
    <x:row r="406">
      <x:c r="A406" t="str">
        <x:v>2020-09</x:v>
      </x:c>
      <x:c r="B406" s="44" t="n">
        <x:v>77</x:v>
      </x:c>
      <x:c r="C406" s="44" t="n">
        <x:v>116.9</x:v>
      </x:c>
      <x:c r="D406" t="n">
        <x:v>30</x:v>
      </x:c>
      <x:c r="E406" t="n">
        <x:v>30</x:v>
      </x:c>
      <x:c r="F406" s="46" t="n">
        <x:v>100</x:v>
      </x:c>
      <x:c r="G406" s="46" t="n">
        <x:v>100</x:v>
      </x:c>
      <x:c r="H406" s="46" t="n">
        <x:f>B406-C406</x:f>
        <x:v>-39.900000000000006</x:v>
      </x:c>
      <x:c r="I406" s="46" t="n">
        <x:f>LN((B406+1)/(C406+1))</x:f>
        <x:v>-0.41312798085373365</x:v>
      </x:c>
      <x:c r="J406" t="str">
        <x:f>IF(A406&lt;"1997-06","Antes","Después")</x:f>
        <x:v>Después</x:v>
      </x:c>
      <x:c r="K406" t="str">
        <x:v>51025090</x:v>
      </x:c>
    </x:row>
    <x:row r="407">
      <x:c r="A407" t="str">
        <x:v>2020-10</x:v>
      </x:c>
      <x:c r="B407" s="44" t="n">
        <x:v>119</x:v>
      </x:c>
      <x:c r="C407" s="44" t="n">
        <x:v>78.9</x:v>
      </x:c>
      <x:c r="D407" t="n">
        <x:v>31</x:v>
      </x:c>
      <x:c r="E407" t="n">
        <x:v>31</x:v>
      </x:c>
      <x:c r="F407" s="46" t="n">
        <x:v>100</x:v>
      </x:c>
      <x:c r="G407" s="46" t="n">
        <x:v>100</x:v>
      </x:c>
      <x:c r="H407" s="46" t="n">
        <x:f>B407-C407</x:f>
        <x:v>40.099999999999994</x:v>
      </x:c>
      <x:c r="I407" s="46" t="n">
        <x:f>LN((B407+1)/(C407+1))</x:f>
        <x:v>0.406715890009817</x:v>
      </x:c>
      <x:c r="J407" t="str">
        <x:f>IF(A407&lt;"1997-06","Antes","Después")</x:f>
        <x:v>Después</x:v>
      </x:c>
      <x:c r="K407" t="str">
        <x:v>51025090</x:v>
      </x:c>
    </x:row>
    <x:row r="408">
      <x:c r="A408" t="str">
        <x:v>2020-11</x:v>
      </x:c>
      <x:c r="B408" s="44" t="n">
        <x:v>37</x:v>
      </x:c>
      <x:c r="C408" s="44" t="n">
        <x:v>55.4</x:v>
      </x:c>
      <x:c r="D408" t="n">
        <x:v>30</x:v>
      </x:c>
      <x:c r="E408" t="n">
        <x:v>30</x:v>
      </x:c>
      <x:c r="F408" s="46" t="n">
        <x:v>100</x:v>
      </x:c>
      <x:c r="G408" s="46" t="n">
        <x:v>100</x:v>
      </x:c>
      <x:c r="H408" s="46" t="n">
        <x:f>B408-C408</x:f>
        <x:v>-18.4</x:v>
      </x:c>
      <x:c r="I408" s="46" t="n">
        <x:f>LN((B408+1)/(C408+1))</x:f>
        <x:v>-0.3948829987776275</x:v>
      </x:c>
      <x:c r="J408" t="str">
        <x:f>IF(A408&lt;"1997-06","Antes","Después")</x:f>
        <x:v>Después</x:v>
      </x:c>
      <x:c r="K408" t="str">
        <x:v>51025090</x:v>
      </x:c>
    </x:row>
    <x:row r="409">
      <x:c r="A409" t="str">
        <x:v>2020-12</x:v>
      </x:c>
      <x:c r="B409" s="44" t="n">
        <x:v>202</x:v>
      </x:c>
      <x:c r="C409" s="44" t="n">
        <x:v>206</x:v>
      </x:c>
      <x:c r="D409" t="n">
        <x:v>31</x:v>
      </x:c>
      <x:c r="E409" t="n">
        <x:v>31</x:v>
      </x:c>
      <x:c r="F409" s="46" t="n">
        <x:v>100</x:v>
      </x:c>
      <x:c r="G409" s="46" t="n">
        <x:v>100</x:v>
      </x:c>
      <x:c r="H409" s="46" t="n">
        <x:f>B409-C409</x:f>
        <x:v>-4</x:v>
      </x:c>
      <x:c r="I409" s="46" t="n">
        <x:f>LN((B409+1)/(C409+1))</x:f>
        <x:v>-0.019512814223581715</x:v>
      </x:c>
      <x:c r="J409" t="str">
        <x:f>IF(A409&lt;"1997-06","Antes","Después")</x:f>
        <x:v>Después</x:v>
      </x:c>
      <x:c r="K409" t="str">
        <x:v>51025090</x:v>
      </x:c>
    </x:row>
    <x:row r="410">
      <x:c r="A410" t="str">
        <x:v>2021-01</x:v>
      </x:c>
      <x:c r="B410" s="44" t="n">
        <x:v>451</x:v>
      </x:c>
      <x:c r="C410" s="44" t="n">
        <x:v>538.4</x:v>
      </x:c>
      <x:c r="D410" t="n">
        <x:v>31</x:v>
      </x:c>
      <x:c r="E410" t="n">
        <x:v>31</x:v>
      </x:c>
      <x:c r="F410" s="46" t="n">
        <x:v>100</x:v>
      </x:c>
      <x:c r="G410" s="46" t="n">
        <x:v>100</x:v>
      </x:c>
      <x:c r="H410" s="46" t="n">
        <x:f>B410-C410</x:f>
        <x:v>-87.39999999999998</x:v>
      </x:c>
      <x:c r="I410" s="46" t="n">
        <x:f>LN((B410+1)/(C410+1))</x:f>
        <x:v>-0.17677523087339836</x:v>
      </x:c>
      <x:c r="J410" t="str">
        <x:f>IF(A410&lt;"1997-06","Antes","Después")</x:f>
        <x:v>Después</x:v>
      </x:c>
      <x:c r="K410" t="str">
        <x:v>51025090</x:v>
      </x:c>
    </x:row>
    <x:row r="411">
      <x:c r="A411" t="str">
        <x:v>2021-02</x:v>
      </x:c>
      <x:c r="B411" s="44" t="n">
        <x:v>183</x:v>
      </x:c>
      <x:c r="C411" s="44" t="n">
        <x:v>275.2</x:v>
      </x:c>
      <x:c r="D411" t="n">
        <x:v>28</x:v>
      </x:c>
      <x:c r="E411" t="n">
        <x:v>28</x:v>
      </x:c>
      <x:c r="F411" s="46" t="n">
        <x:v>100</x:v>
      </x:c>
      <x:c r="G411" s="46" t="n">
        <x:v>100</x:v>
      </x:c>
      <x:c r="H411" s="46" t="n">
        <x:f>B411-C411</x:f>
        <x:v>-92.19999999999999</x:v>
      </x:c>
      <x:c r="I411" s="46" t="n">
        <x:f>LN((B411+1)/(C411+1))</x:f>
        <x:v>-0.40618948336620603</x:v>
      </x:c>
      <x:c r="J411" t="str">
        <x:f>IF(A411&lt;"1997-06","Antes","Después")</x:f>
        <x:v>Después</x:v>
      </x:c>
      <x:c r="K411" t="str">
        <x:v>51025090</x:v>
      </x:c>
    </x:row>
    <x:row r="412">
      <x:c r="A412" t="str">
        <x:v>2021-03</x:v>
      </x:c>
      <x:c r="B412" s="44" t="n">
        <x:v>500</x:v>
      </x:c>
      <x:c r="C412" s="44" t="n">
        <x:v>579.2</x:v>
      </x:c>
      <x:c r="D412" t="n">
        <x:v>31</x:v>
      </x:c>
      <x:c r="E412" t="n">
        <x:v>31</x:v>
      </x:c>
      <x:c r="F412" s="46" t="n">
        <x:v>100</x:v>
      </x:c>
      <x:c r="G412" s="46" t="n">
        <x:v>100</x:v>
      </x:c>
      <x:c r="H412" s="46" t="n">
        <x:f>B412-C412</x:f>
        <x:v>-79.20000000000005</x:v>
      </x:c>
      <x:c r="I412" s="46" t="n">
        <x:f>LN((B412+1)/(C412+1))</x:f>
        <x:v>-0.14676677060243892</x:v>
      </x:c>
      <x:c r="J412" t="str">
        <x:f>IF(A412&lt;"1997-06","Antes","Después")</x:f>
        <x:v>Después</x:v>
      </x:c>
      <x:c r="K412" t="str">
        <x:v>51025090</x:v>
      </x:c>
    </x:row>
    <x:row r="413">
      <x:c r="A413" t="str">
        <x:v>2021-04</x:v>
      </x:c>
      <x:c r="B413" s="44" t="n">
        <x:v>325</x:v>
      </x:c>
      <x:c r="C413" s="44" t="n">
        <x:v>268.1</x:v>
      </x:c>
      <x:c r="D413" t="n">
        <x:v>30</x:v>
      </x:c>
      <x:c r="E413" t="n">
        <x:v>30</x:v>
      </x:c>
      <x:c r="F413" s="46" t="n">
        <x:v>100</x:v>
      </x:c>
      <x:c r="G413" s="46" t="n">
        <x:v>100</x:v>
      </x:c>
      <x:c r="H413" s="46" t="n">
        <x:f>B413-C413</x:f>
        <x:v>56.89999999999998</x:v>
      </x:c>
      <x:c r="I413" s="46" t="n">
        <x:f>LN((B413+1)/(C413+1))</x:f>
        <x:v>0.1918143236338475</x:v>
      </x:c>
      <x:c r="J413" t="str">
        <x:f>IF(A413&lt;"1997-06","Antes","Después")</x:f>
        <x:v>Después</x:v>
      </x:c>
      <x:c r="K413" t="str">
        <x:v>51025090</x:v>
      </x:c>
    </x:row>
    <x:row r="414">
      <x:c r="A414" t="str">
        <x:v>2021-05</x:v>
      </x:c>
      <x:c r="B414" s="44" t="n">
        <x:v>219</x:v>
      </x:c>
      <x:c r="C414" s="44" t="n">
        <x:v>187.9</x:v>
      </x:c>
      <x:c r="D414" t="n">
        <x:v>31</x:v>
      </x:c>
      <x:c r="E414" t="n">
        <x:v>31</x:v>
      </x:c>
      <x:c r="F414" s="46" t="n">
        <x:v>100</x:v>
      </x:c>
      <x:c r="G414" s="46" t="n">
        <x:v>100</x:v>
      </x:c>
      <x:c r="H414" s="46" t="n">
        <x:f>B414-C414</x:f>
        <x:v>31.099999999999994</x:v>
      </x:c>
      <x:c r="I414" s="46" t="n">
        <x:f>LN((B414+1)/(C414+1))</x:f>
        <x:v>0.1524097718448977</x:v>
      </x:c>
      <x:c r="J414" t="str">
        <x:f>IF(A414&lt;"1997-06","Antes","Después")</x:f>
        <x:v>Después</x:v>
      </x:c>
      <x:c r="K414" t="str">
        <x:v>51025090</x:v>
      </x:c>
    </x:row>
    <x:row r="415">
      <x:c r="A415" t="str">
        <x:v>2021-06</x:v>
      </x:c>
      <x:c r="B415" s="44" t="n">
        <x:v>296</x:v>
      </x:c>
      <x:c r="C415" s="44" t="n">
        <x:v>358.1</x:v>
      </x:c>
      <x:c r="D415" t="n">
        <x:v>30</x:v>
      </x:c>
      <x:c r="E415" t="n">
        <x:v>30</x:v>
      </x:c>
      <x:c r="F415" s="46" t="n">
        <x:v>100</x:v>
      </x:c>
      <x:c r="G415" s="46" t="n">
        <x:v>100</x:v>
      </x:c>
      <x:c r="H415" s="46" t="n">
        <x:f>B415-C415</x:f>
        <x:v>-62.10000000000002</x:v>
      </x:c>
      <x:c r="I415" s="46" t="n">
        <x:f>LN((B415+1)/(C415+1))</x:f>
        <x:v>-0.1898687624293376</x:v>
      </x:c>
      <x:c r="J415" t="str">
        <x:f>IF(A415&lt;"1997-06","Antes","Después")</x:f>
        <x:v>Después</x:v>
      </x:c>
      <x:c r="K415" t="str">
        <x:v>51025090</x:v>
      </x:c>
    </x:row>
    <x:row r="416">
      <x:c r="A416" t="str">
        <x:v>2021-07</x:v>
      </x:c>
      <x:c r="B416" s="44" t="n">
        <x:v>77</x:v>
      </x:c>
      <x:c r="C416" s="44" t="n">
        <x:v>100.1</x:v>
      </x:c>
      <x:c r="D416" t="n">
        <x:v>31</x:v>
      </x:c>
      <x:c r="E416" t="n">
        <x:v>31</x:v>
      </x:c>
      <x:c r="F416" s="46" t="n">
        <x:v>100</x:v>
      </x:c>
      <x:c r="G416" s="46" t="n">
        <x:v>100</x:v>
      </x:c>
      <x:c r="H416" s="46" t="n">
        <x:f>B416-C416</x:f>
        <x:v>-23.099999999999994</x:v>
      </x:c>
      <x:c r="I416" s="46" t="n">
        <x:f>LN((B416+1)/(C416+1))</x:f>
        <x:v>-0.259401299336834</x:v>
      </x:c>
      <x:c r="J416" t="str">
        <x:f>IF(A416&lt;"1997-06","Antes","Después")</x:f>
        <x:v>Después</x:v>
      </x:c>
      <x:c r="K416" t="str">
        <x:v>51025090</x:v>
      </x:c>
    </x:row>
    <x:row r="417">
      <x:c r="A417" t="str">
        <x:v>2021-08</x:v>
      </x:c>
      <x:c r="B417" s="44" t="n">
        <x:v>216</x:v>
      </x:c>
      <x:c r="C417" s="44" t="n">
        <x:v>206.5</x:v>
      </x:c>
      <x:c r="D417" t="n">
        <x:v>31</x:v>
      </x:c>
      <x:c r="E417" t="n">
        <x:v>31</x:v>
      </x:c>
      <x:c r="F417" s="46" t="n">
        <x:v>100</x:v>
      </x:c>
      <x:c r="G417" s="46" t="n">
        <x:v>100</x:v>
      </x:c>
      <x:c r="H417" s="46" t="n">
        <x:f>B417-C417</x:f>
        <x:v>9.5</x:v>
      </x:c>
      <x:c r="I417" s="46" t="n">
        <x:f>LN((B417+1)/(C417+1))</x:f>
        <x:v>0.04476601386970664</x:v>
      </x:c>
      <x:c r="J417" t="str">
        <x:f>IF(A417&lt;"1997-06","Antes","Después")</x:f>
        <x:v>Después</x:v>
      </x:c>
      <x:c r="K417" t="str">
        <x:v>51025090</x:v>
      </x:c>
    </x:row>
    <x:row r="418">
      <x:c r="A418" t="str">
        <x:v>2021-09</x:v>
      </x:c>
      <x:c r="B418" s="44" t="n">
        <x:v>258</x:v>
      </x:c>
      <x:c r="C418" s="44" t="n">
        <x:v>221.7</x:v>
      </x:c>
      <x:c r="D418" t="n">
        <x:v>30</x:v>
      </x:c>
      <x:c r="E418" t="n">
        <x:v>30</x:v>
      </x:c>
      <x:c r="F418" s="46" t="n">
        <x:v>100</x:v>
      </x:c>
      <x:c r="G418" s="46" t="n">
        <x:v>100</x:v>
      </x:c>
      <x:c r="H418" s="46" t="n">
        <x:f>B418-C418</x:f>
        <x:v>36.30000000000001</x:v>
      </x:c>
      <x:c r="I418" s="46" t="n">
        <x:f>LN((B418+1)/(C418+1))</x:f>
        <x:v>0.15100248743621578</x:v>
      </x:c>
      <x:c r="J418" t="str">
        <x:f>IF(A418&lt;"1997-06","Antes","Después")</x:f>
        <x:v>Después</x:v>
      </x:c>
      <x:c r="K418" t="str">
        <x:v>51025090</x:v>
      </x:c>
    </x:row>
    <x:row r="419">
      <x:c r="A419" t="str">
        <x:v>2021-10</x:v>
      </x:c>
      <x:c r="B419" s="44" t="n">
        <x:v>158</x:v>
      </x:c>
      <x:c r="C419" s="44" t="n">
        <x:v>101.6</x:v>
      </x:c>
      <x:c r="D419" t="n">
        <x:v>31</x:v>
      </x:c>
      <x:c r="E419" t="n">
        <x:v>30</x:v>
      </x:c>
      <x:c r="F419" s="46" t="n">
        <x:v>100</x:v>
      </x:c>
      <x:c r="G419" s="46" t="n">
        <x:v>96.77</x:v>
      </x:c>
      <x:c r="H419" s="46" t="n">
        <x:f>B419-C419</x:f>
        <x:v>56.400000000000006</x:v>
      </x:c>
      <x:c r="I419" s="46" t="n">
        <x:f>LN((B419+1)/(C419+1))</x:f>
        <x:v>0.4380662694835624</x:v>
      </x:c>
      <x:c r="J419" t="str">
        <x:f>IF(A419&lt;"1997-06","Antes","Después")</x:f>
        <x:v>Después</x:v>
      </x:c>
      <x:c r="K419" t="str">
        <x:v>51025090</x:v>
      </x:c>
    </x:row>
    <x:row r="420">
      <x:c r="A420" t="str">
        <x:v>2021-11</x:v>
      </x:c>
      <x:c r="B420" s="44" t="n">
        <x:v>50</x:v>
      </x:c>
      <x:c r="C420" s="44" t="n">
        <x:v>97.2</x:v>
      </x:c>
      <x:c r="D420" t="n">
        <x:v>30</x:v>
      </x:c>
      <x:c r="E420" t="n">
        <x:v>30</x:v>
      </x:c>
      <x:c r="F420" s="46" t="n">
        <x:v>100</x:v>
      </x:c>
      <x:c r="G420" s="46" t="n">
        <x:v>100</x:v>
      </x:c>
      <x:c r="H420" s="46" t="n">
        <x:f>B420-C420</x:f>
        <x:v>-47.2</x:v>
      </x:c>
      <x:c r="I420" s="46" t="n">
        <x:f>LN((B420+1)/(C420+1))</x:f>
        <x:v>-0.6551805826360944</x:v>
      </x:c>
      <x:c r="J420" t="str">
        <x:f>IF(A420&lt;"1997-06","Antes","Después")</x:f>
        <x:v>Después</x:v>
      </x:c>
      <x:c r="K420" t="str">
        <x:v>51025090</x:v>
      </x:c>
    </x:row>
    <x:row r="421">
      <x:c r="A421" t="str">
        <x:v>2021-12</x:v>
      </x:c>
      <x:c r="B421" s="44" t="n">
        <x:v>258</x:v>
      </x:c>
      <x:c r="C421" s="44" t="n">
        <x:v>331.6</x:v>
      </x:c>
      <x:c r="D421" t="n">
        <x:v>31</x:v>
      </x:c>
      <x:c r="E421" t="n">
        <x:v>31</x:v>
      </x:c>
      <x:c r="F421" s="46" t="n">
        <x:v>100</x:v>
      </x:c>
      <x:c r="G421" s="46" t="n">
        <x:v>100</x:v>
      </x:c>
      <x:c r="H421" s="46" t="n">
        <x:f>B421-C421</x:f>
        <x:v>-73.60000000000002</x:v>
      </x:c>
      <x:c r="I421" s="46" t="n">
        <x:f>LN((B421+1)/(C421+1))</x:f>
        <x:v>-0.25011250505928956</x:v>
      </x:c>
      <x:c r="J421" t="str">
        <x:f>IF(A421&lt;"1997-06","Antes","Después")</x:f>
        <x:v>Después</x:v>
      </x:c>
      <x:c r="K421" t="str">
        <x:v>51025090</x:v>
      </x:c>
    </x:row>
    <x:row r="422">
      <x:c r="A422" t="str">
        <x:v>2022-01</x:v>
      </x:c>
      <x:c r="B422" s="44" t="n">
        <x:v>404</x:v>
      </x:c>
      <x:c r="C422" s="44" t="n">
        <x:v>218.4</x:v>
      </x:c>
      <x:c r="D422" t="n">
        <x:v>30</x:v>
      </x:c>
      <x:c r="E422" t="n">
        <x:v>31</x:v>
      </x:c>
      <x:c r="F422" s="46" t="n">
        <x:v>96.77</x:v>
      </x:c>
      <x:c r="G422" s="46" t="n">
        <x:v>100</x:v>
      </x:c>
      <x:c r="H422" s="46" t="n">
        <x:f>B422-C422</x:f>
        <x:v>185.6</x:v>
      </x:c>
      <x:c r="I422" s="46" t="n">
        <x:f>LN((B422+1)/(C422+1))</x:f>
        <x:v>0.6129905192654093</x:v>
      </x:c>
      <x:c r="J422" t="str">
        <x:f>IF(A422&lt;"1997-06","Antes","Después")</x:f>
        <x:v>Después</x:v>
      </x:c>
      <x:c r="K422" t="str">
        <x:v>51025090</x:v>
      </x:c>
    </x:row>
    <x:row r="423">
      <x:c r="A423" t="str">
        <x:v>2022-02</x:v>
      </x:c>
      <x:c r="B423" s="44" t="n">
        <x:v>268</x:v>
      </x:c>
      <x:c r="C423" s="44" t="n">
        <x:v>349.8</x:v>
      </x:c>
      <x:c r="D423" t="n">
        <x:v>28</x:v>
      </x:c>
      <x:c r="E423" t="n">
        <x:v>28</x:v>
      </x:c>
      <x:c r="F423" s="46" t="n">
        <x:v>100</x:v>
      </x:c>
      <x:c r="G423" s="46" t="n">
        <x:v>100</x:v>
      </x:c>
      <x:c r="H423" s="46" t="n">
        <x:f>B423-C423</x:f>
        <x:v>-81.80000000000001</x:v>
      </x:c>
      <x:c r="I423" s="46" t="n">
        <x:f>LN((B423+1)/(C423+1))</x:f>
        <x:v>-0.26550488089618884</x:v>
      </x:c>
      <x:c r="J423" t="str">
        <x:f>IF(A423&lt;"1997-06","Antes","Después")</x:f>
        <x:v>Después</x:v>
      </x:c>
      <x:c r="K423" t="str">
        <x:v>51025090</x:v>
      </x:c>
    </x:row>
    <x:row r="424">
      <x:c r="A424" t="str">
        <x:v>2022-03</x:v>
      </x:c>
      <x:c r="B424" s="44" t="n">
        <x:v>348</x:v>
      </x:c>
      <x:c r="C424" s="44" t="n">
        <x:v>359.3</x:v>
      </x:c>
      <x:c r="D424" t="n">
        <x:v>31</x:v>
      </x:c>
      <x:c r="E424" t="n">
        <x:v>31</x:v>
      </x:c>
      <x:c r="F424" s="46" t="n">
        <x:v>100</x:v>
      </x:c>
      <x:c r="G424" s="46" t="n">
        <x:v>100</x:v>
      </x:c>
      <x:c r="H424" s="46" t="n">
        <x:f>B424-C424</x:f>
        <x:v>-11.300000000000011</x:v>
      </x:c>
      <x:c r="I424" s="46" t="n">
        <x:f>LN((B424+1)/(C424+1))</x:f>
        <x:v>-0.03186509555162047</x:v>
      </x:c>
      <x:c r="J424" t="str">
        <x:f>IF(A424&lt;"1997-06","Antes","Después")</x:f>
        <x:v>Después</x:v>
      </x:c>
      <x:c r="K424" t="str">
        <x:v>51025090</x:v>
      </x:c>
    </x:row>
    <x:row r="425">
      <x:c r="A425" t="str">
        <x:v>2022-04</x:v>
      </x:c>
      <x:c r="B425" s="44" t="n">
        <x:v>555</x:v>
      </x:c>
      <x:c r="C425" s="44" t="n">
        <x:v>378.8</x:v>
      </x:c>
      <x:c r="D425" t="n">
        <x:v>30</x:v>
      </x:c>
      <x:c r="E425" t="n">
        <x:v>30</x:v>
      </x:c>
      <x:c r="F425" s="46" t="n">
        <x:v>100</x:v>
      </x:c>
      <x:c r="G425" s="46" t="n">
        <x:v>100</x:v>
      </x:c>
      <x:c r="H425" s="46" t="n">
        <x:f>B425-C425</x:f>
        <x:v>176.2</x:v>
      </x:c>
      <x:c r="I425" s="46" t="n">
        <x:f>LN((B425+1)/(C425+1))</x:f>
        <x:v>0.3811234958723969</x:v>
      </x:c>
      <x:c r="J425" t="str">
        <x:f>IF(A425&lt;"1997-06","Antes","Después")</x:f>
        <x:v>Después</x:v>
      </x:c>
      <x:c r="K425" t="str">
        <x:v>51025090</x:v>
      </x:c>
    </x:row>
    <x:row r="426">
      <x:c r="A426" t="str">
        <x:v>2022-05</x:v>
      </x:c>
      <x:c r="B426" s="44" t="n">
        <x:v>614</x:v>
      </x:c>
      <x:c r="C426" s="44" t="n">
        <x:v>681.5</x:v>
      </x:c>
      <x:c r="D426" t="n">
        <x:v>31</x:v>
      </x:c>
      <x:c r="E426" t="n">
        <x:v>31</x:v>
      </x:c>
      <x:c r="F426" s="46" t="n">
        <x:v>100</x:v>
      </x:c>
      <x:c r="G426" s="46" t="n">
        <x:v>100</x:v>
      </x:c>
      <x:c r="H426" s="46" t="n">
        <x:f>B426-C426</x:f>
        <x:v>-67.5</x:v>
      </x:c>
      <x:c r="I426" s="46" t="n">
        <x:f>LN((B426+1)/(C426+1))</x:f>
        <x:v>-0.1041402592525969</x:v>
      </x:c>
      <x:c r="J426" t="str">
        <x:f>IF(A426&lt;"1997-06","Antes","Después")</x:f>
        <x:v>Después</x:v>
      </x:c>
      <x:c r="K426" t="str">
        <x:v>51025090</x:v>
      </x:c>
    </x:row>
    <x:row r="427">
      <x:c r="A427" t="str">
        <x:v>2022-06</x:v>
      </x:c>
      <x:c r="B427" s="44" t="n">
        <x:v>582</x:v>
      </x:c>
      <x:c r="C427" s="44" t="n">
        <x:v>577.4</x:v>
      </x:c>
      <x:c r="D427" t="n">
        <x:v>30</x:v>
      </x:c>
      <x:c r="E427" t="n">
        <x:v>30</x:v>
      </x:c>
      <x:c r="F427" s="46" t="n">
        <x:v>100</x:v>
      </x:c>
      <x:c r="G427" s="46" t="n">
        <x:v>100</x:v>
      </x:c>
      <x:c r="H427" s="46" t="n">
        <x:f>B427-C427</x:f>
        <x:v>4.600000000000023</x:v>
      </x:c>
      <x:c r="I427" s="46" t="n">
        <x:f>LN((B427+1)/(C427+1))</x:f>
        <x:v>0.00792151550593742</x:v>
      </x:c>
      <x:c r="J427" t="str">
        <x:f>IF(A427&lt;"1997-06","Antes","Después")</x:f>
        <x:v>Después</x:v>
      </x:c>
      <x:c r="K427" t="str">
        <x:v>51025090</x:v>
      </x:c>
    </x:row>
    <x:row r="428">
      <x:c r="A428" t="str">
        <x:v>2022-07</x:v>
      </x:c>
      <x:c r="B428" s="44" t="n">
        <x:v>114</x:v>
      </x:c>
      <x:c r="C428" s="44" t="n">
        <x:v>129.6</x:v>
      </x:c>
      <x:c r="D428" t="n">
        <x:v>31</x:v>
      </x:c>
      <x:c r="E428" t="n">
        <x:v>31</x:v>
      </x:c>
      <x:c r="F428" s="46" t="n">
        <x:v>100</x:v>
      </x:c>
      <x:c r="G428" s="46" t="n">
        <x:v>100</x:v>
      </x:c>
      <x:c r="H428" s="46" t="n">
        <x:f>B428-C428</x:f>
        <x:v>-15.599999999999994</x:v>
      </x:c>
      <x:c r="I428" s="46" t="n">
        <x:f>LN((B428+1)/(C428+1))</x:f>
        <x:v>-0.12720708847908055</x:v>
      </x:c>
      <x:c r="J428" t="str">
        <x:f>IF(A428&lt;"1997-06","Antes","Después")</x:f>
        <x:v>Después</x:v>
      </x:c>
      <x:c r="K428" t="str">
        <x:v>51025090</x:v>
      </x:c>
    </x:row>
    <x:row r="429">
      <x:c r="A429" t="str">
        <x:v>2022-08</x:v>
      </x:c>
      <x:c r="B429" s="44" t="n">
        <x:v>122</x:v>
      </x:c>
      <x:c r="C429" s="44" t="n">
        <x:v>102.2</x:v>
      </x:c>
      <x:c r="D429" t="n">
        <x:v>31</x:v>
      </x:c>
      <x:c r="E429" t="n">
        <x:v>31</x:v>
      </x:c>
      <x:c r="F429" s="46" t="n">
        <x:v>100</x:v>
      </x:c>
      <x:c r="G429" s="46" t="n">
        <x:v>100</x:v>
      </x:c>
      <x:c r="H429" s="46" t="n">
        <x:f>B429-C429</x:f>
        <x:v>19.799999999999997</x:v>
      </x:c>
      <x:c r="I429" s="46" t="n">
        <x:f>LN((B429+1)/(C429+1))</x:f>
        <x:v>0.17551550232495505</x:v>
      </x:c>
      <x:c r="J429" t="str">
        <x:f>IF(A429&lt;"1997-06","Antes","Después")</x:f>
        <x:v>Después</x:v>
      </x:c>
      <x:c r="K429" t="str">
        <x:v>51025090</x:v>
      </x:c>
    </x:row>
    <x:row r="430">
      <x:c r="A430" t="str">
        <x:v>2022-09</x:v>
      </x:c>
      <x:c r="B430" s="44" t="n">
        <x:v>213</x:v>
      </x:c>
      <x:c r="C430" s="44" t="n">
        <x:v>208.4</x:v>
      </x:c>
      <x:c r="D430" t="n">
        <x:v>30</x:v>
      </x:c>
      <x:c r="E430" t="n">
        <x:v>30</x:v>
      </x:c>
      <x:c r="F430" s="46" t="n">
        <x:v>100</x:v>
      </x:c>
      <x:c r="G430" s="46" t="n">
        <x:v>100</x:v>
      </x:c>
      <x:c r="H430" s="46" t="n">
        <x:f>B430-C430</x:f>
        <x:v>4.599999999999994</x:v>
      </x:c>
      <x:c r="I430" s="46" t="n">
        <x:f>LN((B430+1)/(C430+1))</x:f>
        <x:v>0.021729716585415032</x:v>
      </x:c>
      <x:c r="J430" t="str">
        <x:f>IF(A430&lt;"1997-06","Antes","Después")</x:f>
        <x:v>Después</x:v>
      </x:c>
      <x:c r="K430" t="str">
        <x:v>51025090</x:v>
      </x:c>
    </x:row>
    <x:row r="431">
      <x:c r="A431" t="str">
        <x:v>2022-10</x:v>
      </x:c>
      <x:c r="B431" s="44" t="n">
        <x:v>34</x:v>
      </x:c>
      <x:c r="C431" s="44" t="n">
        <x:v>51.6</x:v>
      </x:c>
      <x:c r="D431" t="n">
        <x:v>31</x:v>
      </x:c>
      <x:c r="E431" t="n">
        <x:v>31</x:v>
      </x:c>
      <x:c r="F431" s="46" t="n">
        <x:v>100</x:v>
      </x:c>
      <x:c r="G431" s="46" t="n">
        <x:v>100</x:v>
      </x:c>
      <x:c r="H431" s="46" t="n">
        <x:f>B431-C431</x:f>
        <x:v>-17.6</x:v>
      </x:c>
      <x:c r="I431" s="46" t="n">
        <x:f>LN((B431+1)/(C431+1))</x:f>
        <x:v>-0.40736805825425043</x:v>
      </x:c>
      <x:c r="J431" t="str">
        <x:f>IF(A431&lt;"1997-06","Antes","Después")</x:f>
        <x:v>Después</x:v>
      </x:c>
      <x:c r="K431" t="str">
        <x:v>51025090</x:v>
      </x:c>
    </x:row>
    <x:row r="432">
      <x:c r="A432" t="str">
        <x:v>2022-11</x:v>
      </x:c>
      <x:c r="B432" s="44" t="n">
        <x:v>32</x:v>
      </x:c>
      <x:c r="C432" s="44" t="n">
        <x:v>35.8</x:v>
      </x:c>
      <x:c r="D432" t="n">
        <x:v>30</x:v>
      </x:c>
      <x:c r="E432" t="n">
        <x:v>30</x:v>
      </x:c>
      <x:c r="F432" s="46" t="n">
        <x:v>100</x:v>
      </x:c>
      <x:c r="G432" s="46" t="n">
        <x:v>100</x:v>
      </x:c>
      <x:c r="H432" s="46" t="n">
        <x:f>B432-C432</x:f>
        <x:v>-3.799999999999997</x:v>
      </x:c>
      <x:c r="I432" s="46" t="n">
        <x:f>LN((B432+1)/(C432+1))</x:f>
        <x:v>-0.1089902837084049</x:v>
      </x:c>
      <x:c r="J432" t="str">
        <x:f>IF(A432&lt;"1997-06","Antes","Después")</x:f>
        <x:v>Después</x:v>
      </x:c>
      <x:c r="K432" t="str">
        <x:v>51025090</x:v>
      </x:c>
    </x:row>
    <x:row r="433">
      <x:c r="A433" t="str">
        <x:v>2022-12</x:v>
      </x:c>
      <x:c r="B433" s="44" t="n">
        <x:v>118</x:v>
      </x:c>
      <x:c r="C433" s="44" t="n">
        <x:v>154.2</x:v>
      </x:c>
      <x:c r="D433" t="n">
        <x:v>31</x:v>
      </x:c>
      <x:c r="E433" t="n">
        <x:v>31</x:v>
      </x:c>
      <x:c r="F433" s="46" t="n">
        <x:v>100</x:v>
      </x:c>
      <x:c r="G433" s="46" t="n">
        <x:v>100</x:v>
      </x:c>
      <x:c r="H433" s="46" t="n">
        <x:f>B433-C433</x:f>
        <x:v>-36.19999999999999</x:v>
      </x:c>
      <x:c r="I433" s="46" t="n">
        <x:f>LN((B433+1)/(C433+1))</x:f>
        <x:v>-0.26559111463758894</x:v>
      </x:c>
      <x:c r="J433" t="str">
        <x:f>IF(A433&lt;"1997-06","Antes","Después")</x:f>
        <x:v>Después</x:v>
      </x:c>
      <x:c r="K433" t="str">
        <x:v>51025090</x:v>
      </x:c>
    </x:row>
    <x:row r="434">
      <x:c r="A434" t="str">
        <x:v>2023-01</x:v>
      </x:c>
      <x:c r="B434" s="44" t="n">
        <x:v>189</x:v>
      </x:c>
      <x:c r="C434" s="44" t="n">
        <x:v>373.2</x:v>
      </x:c>
      <x:c r="D434" t="n">
        <x:v>31</x:v>
      </x:c>
      <x:c r="E434" t="n">
        <x:v>31</x:v>
      </x:c>
      <x:c r="F434" s="46" t="n">
        <x:v>100</x:v>
      </x:c>
      <x:c r="G434" s="46" t="n">
        <x:v>100</x:v>
      </x:c>
      <x:c r="H434" s="46" t="n">
        <x:f>B434-C434</x:f>
        <x:v>-184.2</x:v>
      </x:c>
      <x:c r="I434" s="46" t="n">
        <x:f>LN((B434+1)/(C434+1))</x:f>
        <x:v>-0.6777663416795031</x:v>
      </x:c>
      <x:c r="J434" t="str">
        <x:f>IF(A434&lt;"1997-06","Antes","Después")</x:f>
        <x:v>Después</x:v>
      </x:c>
      <x:c r="K434" t="str">
        <x:v>51025090</x:v>
      </x:c>
    </x:row>
    <x:row r="435">
      <x:c r="A435" t="str">
        <x:v>2023-02</x:v>
      </x:c>
      <x:c r="B435" s="44" t="n">
        <x:v>146</x:v>
      </x:c>
      <x:c r="C435" s="44" t="n">
        <x:v>132.8</x:v>
      </x:c>
      <x:c r="D435" t="n">
        <x:v>28</x:v>
      </x:c>
      <x:c r="E435" t="n">
        <x:v>28</x:v>
      </x:c>
      <x:c r="F435" s="46" t="n">
        <x:v>100</x:v>
      </x:c>
      <x:c r="G435" s="46" t="n">
        <x:v>100</x:v>
      </x:c>
      <x:c r="H435" s="46" t="n">
        <x:f>B435-C435</x:f>
        <x:v>13.199999999999989</x:v>
      </x:c>
      <x:c r="I435" s="46" t="n">
        <x:f>LN((B435+1)/(C435+1))</x:f>
        <x:v>0.09408643908460808</x:v>
      </x:c>
      <x:c r="J435" t="str">
        <x:f>IF(A435&lt;"1997-06","Antes","Después")</x:f>
        <x:v>Después</x:v>
      </x:c>
      <x:c r="K435" t="str">
        <x:v>51025090</x:v>
      </x:c>
    </x:row>
    <x:row r="436">
      <x:c r="A436" t="str">
        <x:v>2023-03</x:v>
      </x:c>
      <x:c r="B436" s="44" t="n">
        <x:v>297</x:v>
      </x:c>
      <x:c r="C436" s="44" t="n">
        <x:v>389.7</x:v>
      </x:c>
      <x:c r="D436" t="n">
        <x:v>31</x:v>
      </x:c>
      <x:c r="E436" t="n">
        <x:v>31</x:v>
      </x:c>
      <x:c r="F436" s="46" t="n">
        <x:v>100</x:v>
      </x:c>
      <x:c r="G436" s="46" t="n">
        <x:v>100</x:v>
      </x:c>
      <x:c r="H436" s="46" t="n">
        <x:f>B436-C436</x:f>
        <x:v>-92.69999999999999</x:v>
      </x:c>
      <x:c r="I436" s="46" t="n">
        <x:f>LN((B436+1)/(C436+1))</x:f>
        <x:v>-0.2708465155556204</x:v>
      </x:c>
      <x:c r="J436" t="str">
        <x:f>IF(A436&lt;"1997-06","Antes","Después")</x:f>
        <x:v>Después</x:v>
      </x:c>
      <x:c r="K436" t="str">
        <x:v>51025090</x:v>
      </x:c>
    </x:row>
    <x:row r="437">
      <x:c r="A437" t="str">
        <x:v>2023-04</x:v>
      </x:c>
      <x:c r="B437" s="44" t="n">
        <x:v>283</x:v>
      </x:c>
      <x:c r="C437" s="44" t="n">
        <x:v>482.6</x:v>
      </x:c>
      <x:c r="D437" t="n">
        <x:v>30</x:v>
      </x:c>
      <x:c r="E437" t="n">
        <x:v>30</x:v>
      </x:c>
      <x:c r="F437" s="46" t="n">
        <x:v>100</x:v>
      </x:c>
      <x:c r="G437" s="46" t="n">
        <x:v>100</x:v>
      </x:c>
      <x:c r="H437" s="46" t="n">
        <x:f>B437-C437</x:f>
        <x:v>-199.60000000000002</x:v>
      </x:c>
      <x:c r="I437" s="46" t="n">
        <x:f>LN((B437+1)/(C437+1))</x:f>
        <x:v>-0.5322838805794315</x:v>
      </x:c>
      <x:c r="J437" t="str">
        <x:f>IF(A437&lt;"1997-06","Antes","Después")</x:f>
        <x:v>Después</x:v>
      </x:c>
      <x:c r="K437" t="str">
        <x:v>51025090</x:v>
      </x:c>
    </x:row>
    <x:row r="438">
      <x:c r="A438" t="str">
        <x:v>2023-05</x:v>
      </x:c>
      <x:c r="B438" s="44" t="n">
        <x:v>432</x:v>
      </x:c>
      <x:c r="C438" s="44" t="n">
        <x:v>530.2</x:v>
      </x:c>
      <x:c r="D438" t="n">
        <x:v>31</x:v>
      </x:c>
      <x:c r="E438" t="n">
        <x:v>31</x:v>
      </x:c>
      <x:c r="F438" s="46" t="n">
        <x:v>100</x:v>
      </x:c>
      <x:c r="G438" s="46" t="n">
        <x:v>100</x:v>
      </x:c>
      <x:c r="H438" s="46" t="n">
        <x:f>B438-C438</x:f>
        <x:v>-98.20000000000005</x:v>
      </x:c>
      <x:c r="I438" s="46" t="n">
        <x:f>LN((B438+1)/(C438+1))</x:f>
        <x:v>-0.20440087015973427</x:v>
      </x:c>
      <x:c r="J438" t="str">
        <x:f>IF(A438&lt;"1997-06","Antes","Después")</x:f>
        <x:v>Después</x:v>
      </x:c>
      <x:c r="K438" t="str">
        <x:v>51025090</x:v>
      </x:c>
    </x:row>
    <x:row r="439">
      <x:c r="A439" t="str">
        <x:v>2023-06</x:v>
      </x:c>
      <x:c r="B439" s="44" t="n">
        <x:v>541</x:v>
      </x:c>
      <x:c r="C439" s="44" t="n">
        <x:v>527.9</x:v>
      </x:c>
      <x:c r="D439" t="n">
        <x:v>30</x:v>
      </x:c>
      <x:c r="E439" t="n">
        <x:v>30</x:v>
      </x:c>
      <x:c r="F439" s="46" t="n">
        <x:v>100</x:v>
      </x:c>
      <x:c r="G439" s="46" t="n">
        <x:v>100</x:v>
      </x:c>
      <x:c r="H439" s="46" t="n">
        <x:f>B439-C439</x:f>
        <x:v>13.100000000000023</x:v>
      </x:c>
      <x:c r="I439" s="46" t="n">
        <x:f>LN((B439+1)/(C439+1))</x:f>
        <x:v>0.024466623367711916</x:v>
      </x:c>
      <x:c r="J439" t="str">
        <x:f>IF(A439&lt;"1997-06","Antes","Después")</x:f>
        <x:v>Después</x:v>
      </x:c>
      <x:c r="K439" t="str">
        <x:v>51025090</x:v>
      </x:c>
    </x:row>
    <x:row r="440">
      <x:c r="A440" t="str">
        <x:v>2023-07</x:v>
      </x:c>
      <x:c r="B440" s="44" t="n">
        <x:v>433</x:v>
      </x:c>
      <x:c r="C440" s="44" t="n">
        <x:v>412.9</x:v>
      </x:c>
      <x:c r="D440" t="n">
        <x:v>31</x:v>
      </x:c>
      <x:c r="E440" t="n">
        <x:v>31</x:v>
      </x:c>
      <x:c r="F440" s="46" t="n">
        <x:v>100</x:v>
      </x:c>
      <x:c r="G440" s="46" t="n">
        <x:v>100</x:v>
      </x:c>
      <x:c r="H440" s="46" t="n">
        <x:f>B440-C440</x:f>
        <x:v>20.100000000000023</x:v>
      </x:c>
      <x:c r="I440" s="46" t="n">
        <x:f>LN((B440+1)/(C440+1))</x:f>
        <x:v>0.047420135345718165</x:v>
      </x:c>
      <x:c r="J440" t="str">
        <x:f>IF(A440&lt;"1997-06","Antes","Después")</x:f>
        <x:v>Después</x:v>
      </x:c>
      <x:c r="K440" t="str">
        <x:v>51025090</x:v>
      </x:c>
    </x:row>
    <x:row r="441">
      <x:c r="A441" t="str">
        <x:v>2023-08</x:v>
      </x:c>
      <x:c r="B441" s="44" t="n">
        <x:v>217</x:v>
      </x:c>
      <x:c r="C441" s="44" t="n">
        <x:v>145.6</x:v>
      </x:c>
      <x:c r="D441" t="n">
        <x:v>31</x:v>
      </x:c>
      <x:c r="E441" t="n">
        <x:v>31</x:v>
      </x:c>
      <x:c r="F441" s="46" t="n">
        <x:v>100</x:v>
      </x:c>
      <x:c r="G441" s="46" t="n">
        <x:v>100</x:v>
      </x:c>
      <x:c r="H441" s="46" t="n">
        <x:f>B441-C441</x:f>
        <x:v>71.4</x:v>
      </x:c>
      <x:c r="I441" s="46" t="n">
        <x:f>LN((B441+1)/(C441+1))</x:f>
        <x:v>0.3967872733365379</x:v>
      </x:c>
      <x:c r="J441" t="str">
        <x:f>IF(A441&lt;"1997-06","Antes","Después")</x:f>
        <x:v>Después</x:v>
      </x:c>
      <x:c r="K441" t="str">
        <x:v>51025090</x:v>
      </x:c>
    </x:row>
    <x:row r="442">
      <x:c r="A442" t="str">
        <x:v>2023-09</x:v>
      </x:c>
      <x:c r="B442" s="44" t="n">
        <x:v>557</x:v>
      </x:c>
      <x:c r="C442" s="44" t="n">
        <x:v>113.8</x:v>
      </x:c>
      <x:c r="D442" t="n">
        <x:v>30</x:v>
      </x:c>
      <x:c r="E442" t="n">
        <x:v>30</x:v>
      </x:c>
      <x:c r="F442" s="46" t="n">
        <x:v>100</x:v>
      </x:c>
      <x:c r="G442" s="46" t="n">
        <x:v>100</x:v>
      </x:c>
      <x:c r="H442" s="46" t="n">
        <x:f>B442-C442</x:f>
        <x:v>443.2</x:v>
      </x:c>
      <x:c r="I442" s="46" t="n">
        <x:f>LN((B442+1)/(C442+1))</x:f>
        <x:v>1.581167478495845</x:v>
      </x:c>
      <x:c r="J442" t="str">
        <x:f>IF(A442&lt;"1997-06","Antes","Después")</x:f>
        <x:v>Después</x:v>
      </x:c>
      <x:c r="K442" t="str">
        <x:v>51025090</x:v>
      </x:c>
    </x:row>
    <x:row r="443">
      <x:c r="A443" t="str">
        <x:v>2023-11</x:v>
      </x:c>
      <x:c r="B443" s="44" t="n">
        <x:v>652</x:v>
      </x:c>
      <x:c r="C443" s="44" t="n">
        <x:v>117</x:v>
      </x:c>
      <x:c r="D443" t="n">
        <x:v>29</x:v>
      </x:c>
      <x:c r="E443" t="n">
        <x:v>30</x:v>
      </x:c>
      <x:c r="F443" s="46" t="n">
        <x:v>96.67</x:v>
      </x:c>
      <x:c r="G443" s="46" t="n">
        <x:v>100</x:v>
      </x:c>
      <x:c r="H443" s="46" t="n">
        <x:f>B443-C443</x:f>
        <x:v>535</x:v>
      </x:c>
      <x:c r="I443" s="46" t="n">
        <x:f>LN((B443+1)/(C443+1))</x:f>
        <x:v>1.7108925048107664</x:v>
      </x:c>
      <x:c r="J443" t="str">
        <x:f>IF(A443&lt;"1997-06","Antes","Después")</x:f>
        <x:v>Después</x:v>
      </x:c>
      <x:c r="K443" t="str">
        <x:v>51025090</x:v>
      </x:c>
    </x:row>
    <x:row r="444">
      <x:c r="A444" t="str">
        <x:v>2023-12</x:v>
      </x:c>
      <x:c r="B444" s="44" t="n">
        <x:v>750</x:v>
      </x:c>
      <x:c r="C444" s="44" t="n">
        <x:v>558.6</x:v>
      </x:c>
      <x:c r="D444" t="n">
        <x:v>30</x:v>
      </x:c>
      <x:c r="E444" t="n">
        <x:v>31</x:v>
      </x:c>
      <x:c r="F444" s="46" t="n">
        <x:v>96.77</x:v>
      </x:c>
      <x:c r="G444" s="46" t="n">
        <x:v>100</x:v>
      </x:c>
      <x:c r="H444" s="46" t="n">
        <x:f>B444-C444</x:f>
        <x:v>191.39999999999998</x:v>
      </x:c>
      <x:c r="I444" s="46" t="n">
        <x:f>LN((B444+1)/(C444+1))</x:f>
        <x:v>0.29418340897280865</x:v>
      </x:c>
      <x:c r="J444" t="str">
        <x:f>IF(A444&lt;"1997-06","Antes","Después")</x:f>
        <x:v>Después</x:v>
      </x:c>
      <x:c r="K444" t="str">
        <x:v>51025090</x:v>
      </x:c>
    </x:row>
    <x:row r="445">
      <x:c r="A445" t="str">
        <x:v>2024-01</x:v>
      </x:c>
      <x:c r="B445" s="44" t="n">
        <x:v>582</x:v>
      </x:c>
      <x:c r="C445" s="44" t="n">
        <x:v>396</x:v>
      </x:c>
      <x:c r="D445" t="n">
        <x:v>31</x:v>
      </x:c>
      <x:c r="E445" t="n">
        <x:v>31</x:v>
      </x:c>
      <x:c r="F445" s="46" t="n">
        <x:v>100</x:v>
      </x:c>
      <x:c r="G445" s="46" t="n">
        <x:v>100</x:v>
      </x:c>
      <x:c r="H445" s="46" t="n">
        <x:f>B445-C445</x:f>
        <x:v>186</x:v>
      </x:c>
      <x:c r="I445" s="46" t="n">
        <x:f>LN((B445+1)/(C445+1))</x:f>
        <x:v>0.384250905663302</x:v>
      </x:c>
      <x:c r="J445" t="str">
        <x:f>IF(A445&lt;"1997-06","Antes","Después")</x:f>
        <x:v>Después</x:v>
      </x:c>
      <x:c r="K445" t="str">
        <x:v>51025090</x:v>
      </x:c>
    </x:row>
    <x:row r="446">
      <x:c r="A446" t="str">
        <x:v>2024-02</x:v>
      </x:c>
      <x:c r="B446" s="44" t="n">
        <x:v>1175</x:v>
      </x:c>
      <x:c r="C446" s="44" t="n">
        <x:v>319</x:v>
      </x:c>
      <x:c r="D446" t="n">
        <x:v>27</x:v>
      </x:c>
      <x:c r="E446" t="n">
        <x:v>29</x:v>
      </x:c>
      <x:c r="F446" s="46" t="n">
        <x:v>93.1</x:v>
      </x:c>
      <x:c r="G446" s="46" t="n">
        <x:v>100</x:v>
      </x:c>
      <x:c r="H446" s="46" t="n">
        <x:f>B446-C446</x:f>
        <x:v>856</x:v>
      </x:c>
      <x:c r="I446" s="46" t="n">
        <x:f>LN((B446+1)/(C446+1))</x:f>
        <x:v>1.3015531326648</x:v>
      </x:c>
      <x:c r="J446" t="str">
        <x:f>IF(A446&lt;"1997-06","Antes","Después")</x:f>
        <x:v>Después</x:v>
      </x:c>
      <x:c r="K446" t="str">
        <x:v>51025090</x:v>
      </x:c>
    </x:row>
    <x:row r="447">
      <x:c r="A447" t="str">
        <x:v>2024-03</x:v>
      </x:c>
      <x:c r="B447" s="44" t="n">
        <x:v>784</x:v>
      </x:c>
      <x:c r="C447" s="44" t="n">
        <x:v>257.3</x:v>
      </x:c>
      <x:c r="D447" t="n">
        <x:v>31</x:v>
      </x:c>
      <x:c r="E447" t="n">
        <x:v>31</x:v>
      </x:c>
      <x:c r="F447" s="46" t="n">
        <x:v>100</x:v>
      </x:c>
      <x:c r="G447" s="46" t="n">
        <x:v>100</x:v>
      </x:c>
      <x:c r="H447" s="46" t="n">
        <x:f>B447-C447</x:f>
        <x:v>526.7</x:v>
      </x:c>
      <x:c r="I447" s="46" t="n">
        <x:f>LN((B447+1)/(C447+1))</x:f>
        <x:v>1.1115620176806136</x:v>
      </x:c>
      <x:c r="J447" t="str">
        <x:f>IF(A447&lt;"1997-06","Antes","Después")</x:f>
        <x:v>Después</x:v>
      </x:c>
      <x:c r="K447" t="str">
        <x:v>51025090</x:v>
      </x:c>
    </x:row>
    <x:row r="448">
      <x:c r="A448" t="str">
        <x:v>2024-04</x:v>
      </x:c>
      <x:c r="B448" s="44" t="n">
        <x:v>514</x:v>
      </x:c>
      <x:c r="C448" s="44" t="n">
        <x:v>303.5</x:v>
      </x:c>
      <x:c r="D448" t="n">
        <x:v>29</x:v>
      </x:c>
      <x:c r="E448" t="n">
        <x:v>30</x:v>
      </x:c>
      <x:c r="F448" s="46" t="n">
        <x:v>96.67</x:v>
      </x:c>
      <x:c r="G448" s="46" t="n">
        <x:v>100</x:v>
      </x:c>
      <x:c r="H448" s="46" t="n">
        <x:f>B448-C448</x:f>
        <x:v>210.5</x:v>
      </x:c>
      <x:c r="I448" s="46" t="n">
        <x:f>LN((B448+1)/(C448+1))</x:f>
        <x:v>0.5254958135137844</x:v>
      </x:c>
      <x:c r="J448" t="str">
        <x:f>IF(A448&lt;"1997-06","Antes","Después")</x:f>
        <x:v>Después</x:v>
      </x:c>
      <x:c r="K448" t="str">
        <x:v>51025090</x:v>
      </x:c>
    </x:row>
    <x:row r="449">
      <x:c r="A449" t="str">
        <x:v>2024-05</x:v>
      </x:c>
      <x:c r="B449" s="44" t="n">
        <x:v>904</x:v>
      </x:c>
      <x:c r="C449" s="44" t="n">
        <x:v>678.7</x:v>
      </x:c>
      <x:c r="D449" t="n">
        <x:v>31</x:v>
      </x:c>
      <x:c r="E449" t="n">
        <x:v>31</x:v>
      </x:c>
      <x:c r="F449" s="46" t="n">
        <x:v>100</x:v>
      </x:c>
      <x:c r="G449" s="46" t="n">
        <x:v>100</x:v>
      </x:c>
      <x:c r="H449" s="46" t="n">
        <x:f>B449-C449</x:f>
        <x:v>225.29999999999995</x:v>
      </x:c>
      <x:c r="I449" s="46" t="n">
        <x:f>LN((B449+1)/(C449+1))</x:f>
        <x:v>0.2862834193473335</x:v>
      </x:c>
      <x:c r="J449" t="str">
        <x:f>IF(A449&lt;"1997-06","Antes","Después")</x:f>
        <x:v>Después</x:v>
      </x:c>
      <x:c r="K449" t="str">
        <x:v>51025090</x:v>
      </x:c>
    </x:row>
    <x:row r="450">
      <x:c r="A450" t="str">
        <x:v>2024-06</x:v>
      </x:c>
      <x:c r="B450" s="44" t="n">
        <x:v>513</x:v>
      </x:c>
      <x:c r="C450" s="44" t="n">
        <x:v>474.9</x:v>
      </x:c>
      <x:c r="D450" t="n">
        <x:v>30</x:v>
      </x:c>
      <x:c r="E450" t="n">
        <x:v>30</x:v>
      </x:c>
      <x:c r="F450" s="46" t="n">
        <x:v>100</x:v>
      </x:c>
      <x:c r="G450" s="46" t="n">
        <x:v>100</x:v>
      </x:c>
      <x:c r="H450" s="46" t="n">
        <x:f>B450-C450</x:f>
        <x:v>38.10000000000002</x:v>
      </x:c>
      <x:c r="I450" s="46" t="n">
        <x:f>LN((B450+1)/(C450+1))</x:f>
        <x:v>0.07701551732810032</x:v>
      </x:c>
      <x:c r="J450" t="str">
        <x:f>IF(A450&lt;"1997-06","Antes","Después")</x:f>
        <x:v>Después</x:v>
      </x:c>
      <x:c r="K450" t="str">
        <x:v>51025090</x:v>
      </x:c>
    </x:row>
    <x:row r="451">
      <x:c r="A451" t="str">
        <x:v>2024-07</x:v>
      </x:c>
      <x:c r="B451" s="44" t="n">
        <x:v>233</x:v>
      </x:c>
      <x:c r="C451" s="44" t="n">
        <x:v>86.8</x:v>
      </x:c>
      <x:c r="D451" t="n">
        <x:v>31</x:v>
      </x:c>
      <x:c r="E451" t="n">
        <x:v>31</x:v>
      </x:c>
      <x:c r="F451" s="46" t="n">
        <x:v>100</x:v>
      </x:c>
      <x:c r="G451" s="46" t="n">
        <x:v>100</x:v>
      </x:c>
      <x:c r="H451" s="46" t="n">
        <x:f>B451-C451</x:f>
        <x:v>146.2</x:v>
      </x:c>
      <x:c r="I451" s="46" t="n">
        <x:f>LN((B451+1)/(C451+1))</x:f>
        <x:v>0.9802596147166306</x:v>
      </x:c>
      <x:c r="J451" t="str">
        <x:f>IF(A451&lt;"1997-06","Antes","Después")</x:f>
        <x:v>Después</x:v>
      </x:c>
      <x:c r="K451" t="str">
        <x:v>51025090</x:v>
      </x:c>
    </x:row>
    <x:row r="452">
      <x:c r="A452" t="str">
        <x:v>2024-08</x:v>
      </x:c>
      <x:c r="B452" s="44" t="n">
        <x:v>145</x:v>
      </x:c>
      <x:c r="C452" s="44" t="n">
        <x:v>137</x:v>
      </x:c>
      <x:c r="D452" t="n">
        <x:v>31</x:v>
      </x:c>
      <x:c r="E452" t="n">
        <x:v>31</x:v>
      </x:c>
      <x:c r="F452" s="46" t="n">
        <x:v>100</x:v>
      </x:c>
      <x:c r="G452" s="46" t="n">
        <x:v>100</x:v>
      </x:c>
      <x:c r="H452" s="46" t="n">
        <x:f>B452-C452</x:f>
        <x:v>8</x:v>
      </x:c>
      <x:c r="I452" s="46" t="n">
        <x:f>LN((B452+1)/(C452+1))</x:f>
        <x:v>0.05635293655113178</x:v>
      </x:c>
      <x:c r="J452" t="str">
        <x:f>IF(A452&lt;"1997-06","Antes","Después")</x:f>
        <x:v>Después</x:v>
      </x:c>
      <x:c r="K452" t="str">
        <x:v>51025090</x:v>
      </x:c>
    </x:row>
    <x:row r="453">
      <x:c r="A453" t="str">
        <x:v>2024-09</x:v>
      </x:c>
      <x:c r="B453" s="44" t="n">
        <x:v>45</x:v>
      </x:c>
      <x:c r="C453" s="44" t="n">
        <x:v>59.6</x:v>
      </x:c>
      <x:c r="D453" t="n">
        <x:v>30</x:v>
      </x:c>
      <x:c r="E453" t="n">
        <x:v>30</x:v>
      </x:c>
      <x:c r="F453" s="46" t="n">
        <x:v>100</x:v>
      </x:c>
      <x:c r="G453" s="46" t="n">
        <x:v>100</x:v>
      </x:c>
      <x:c r="H453" s="46" t="n">
        <x:f>B453-C453</x:f>
        <x:v>-14.600000000000001</x:v>
      </x:c>
      <x:c r="I453" s="46" t="n">
        <x:f>LN((B453+1)/(C453+1))</x:f>
        <x:v>-0.27565349658617383</x:v>
      </x:c>
      <x:c r="J453" t="str">
        <x:f>IF(A453&lt;"1997-06","Antes","Después")</x:f>
        <x:v>Después</x:v>
      </x:c>
      <x:c r="K453" t="str">
        <x:v>51025090</x:v>
      </x:c>
    </x:row>
    <x:row r="454">
      <x:c r="A454" t="str">
        <x:v>2024-10</x:v>
      </x:c>
      <x:c r="B454" s="44" t="n">
        <x:v>254</x:v>
      </x:c>
      <x:c r="C454" s="44" t="n">
        <x:v>168.2</x:v>
      </x:c>
      <x:c r="D454" t="n">
        <x:v>28</x:v>
      </x:c>
      <x:c r="E454" t="n">
        <x:v>31</x:v>
      </x:c>
      <x:c r="F454" s="46" t="n">
        <x:v>90.32</x:v>
      </x:c>
      <x:c r="G454" s="46" t="n">
        <x:v>100</x:v>
      </x:c>
      <x:c r="H454" s="46" t="n">
        <x:f>B454-C454</x:f>
        <x:v>85.80000000000001</x:v>
      </x:c>
      <x:c r="I454" s="46" t="n">
        <x:f>LN((B454+1)/(C454+1))</x:f>
        <x:v>0.41018209798630334</x:v>
      </x:c>
      <x:c r="J454" t="str">
        <x:f>IF(A454&lt;"1997-06","Antes","Después")</x:f>
        <x:v>Después</x:v>
      </x:c>
      <x:c r="K454" t="str">
        <x:v>51025090</x:v>
      </x:c>
    </x:row>
    <x:row r="455">
      <x:c r="A455" t="str">
        <x:v>2024-11</x:v>
      </x:c>
      <x:c r="B455" s="44" t="n">
        <x:v>15</x:v>
      </x:c>
      <x:c r="C455" s="44" t="n">
        <x:v>19.6</x:v>
      </x:c>
      <x:c r="D455" t="n">
        <x:v>30</x:v>
      </x:c>
      <x:c r="E455" t="n">
        <x:v>30</x:v>
      </x:c>
      <x:c r="F455" s="46" t="n">
        <x:v>100</x:v>
      </x:c>
      <x:c r="G455" s="46" t="n">
        <x:v>100</x:v>
      </x:c>
      <x:c r="H455" s="46" t="n">
        <x:f>B455-C455</x:f>
        <x:v>-4.600000000000001</x:v>
      </x:c>
      <x:c r="I455" s="46" t="n">
        <x:f>LN((B455+1)/(C455+1))</x:f>
        <x:v>-0.25270235355575416</x:v>
      </x:c>
      <x:c r="J455" t="str">
        <x:f>IF(A455&lt;"1997-06","Antes","Después")</x:f>
        <x:v>Después</x:v>
      </x:c>
      <x:c r="K455" t="str">
        <x:v>51025090</x:v>
      </x:c>
    </x:row>
    <x:row r="456">
      <x:c r="A456" t="str">
        <x:v>2024-12</x:v>
      </x:c>
      <x:c r="B456" s="44" t="n">
        <x:v>204</x:v>
      </x:c>
      <x:c r="C456" s="44" t="n">
        <x:v>153.8</x:v>
      </x:c>
      <x:c r="D456" t="n">
        <x:v>31</x:v>
      </x:c>
      <x:c r="E456" t="n">
        <x:v>31</x:v>
      </x:c>
      <x:c r="F456" s="46" t="n">
        <x:v>100</x:v>
      </x:c>
      <x:c r="G456" s="46" t="n">
        <x:v>100</x:v>
      </x:c>
      <x:c r="H456" s="46" t="n">
        <x:f>B456-C456</x:f>
        <x:v>50.19999999999999</x:v>
      </x:c>
      <x:c r="I456" s="46" t="n">
        <x:f>LN((B456+1)/(C456+1))</x:f>
        <x:v>0.28087601798278145</x:v>
      </x:c>
      <x:c r="J456" t="str">
        <x:f>IF(A456&lt;"1997-06","Antes","Después")</x:f>
        <x:v>Después</x:v>
      </x:c>
      <x:c r="K456" t="str">
        <x:v>51025090</x:v>
      </x:c>
    </x:row>
    <x:row r="457">
      <x:c r="A457" t="str">
        <x:v>2025-01</x:v>
      </x:c>
      <x:c r="B457" s="44" t="n">
        <x:v>342</x:v>
      </x:c>
      <x:c r="C457" s="44" t="n">
        <x:v>431.5</x:v>
      </x:c>
      <x:c r="D457" t="n">
        <x:v>31</x:v>
      </x:c>
      <x:c r="E457" t="n">
        <x:v>31</x:v>
      </x:c>
      <x:c r="F457" s="46" t="n">
        <x:v>100</x:v>
      </x:c>
      <x:c r="G457" s="46" t="n">
        <x:v>100</x:v>
      </x:c>
      <x:c r="H457" s="46" t="n">
        <x:f>B457-C457</x:f>
        <x:v>-89.5</x:v>
      </x:c>
      <x:c r="I457" s="46" t="n">
        <x:f>LN((B457+1)/(C457+1))</x:f>
        <x:v>-0.23185187920599404</x:v>
      </x:c>
      <x:c r="J457" t="str">
        <x:f>IF(A457&lt;"1997-06","Antes","Después")</x:f>
        <x:v>Después</x:v>
      </x:c>
      <x:c r="K457" t="str">
        <x:v>51025090</x:v>
      </x:c>
    </x:row>
    <x:row r="458">
      <x:c r="A458" t="str">
        <x:v>2025-02</x:v>
      </x:c>
      <x:c r="B458" s="44" t="n">
        <x:v>664</x:v>
      </x:c>
      <x:c r="C458" s="44" t="n">
        <x:v>573.8</x:v>
      </x:c>
      <x:c r="D458" t="n">
        <x:v>28</x:v>
      </x:c>
      <x:c r="E458" t="n">
        <x:v>28</x:v>
      </x:c>
      <x:c r="F458" s="46" t="n">
        <x:v>100</x:v>
      </x:c>
      <x:c r="G458" s="46" t="n">
        <x:v>100</x:v>
      </x:c>
      <x:c r="H458" s="46" t="n">
        <x:f>B458-C458</x:f>
        <x:v>90.20000000000005</x:v>
      </x:c>
      <x:c r="I458" s="46" t="n">
        <x:f>LN((B458+1)/(C458+1))</x:f>
        <x:v>0.1457648864509843</x:v>
      </x:c>
      <x:c r="J458" t="str">
        <x:f>IF(A458&lt;"1997-06","Antes","Después")</x:f>
        <x:v>Después</x:v>
      </x:c>
      <x:c r="K458" t="str">
        <x:v>51025090</x:v>
      </x:c>
    </x:row>
    <x:row r="459">
      <x:c r="A459" t="str">
        <x:v>2025-03</x:v>
      </x:c>
      <x:c r="B459" s="44" t="n">
        <x:v>257</x:v>
      </x:c>
      <x:c r="C459" s="44" t="n">
        <x:v>212.5</x:v>
      </x:c>
      <x:c r="D459" t="n">
        <x:v>31</x:v>
      </x:c>
      <x:c r="E459" t="n">
        <x:v>31</x:v>
      </x:c>
      <x:c r="F459" s="46" t="n">
        <x:v>100</x:v>
      </x:c>
      <x:c r="G459" s="46" t="n">
        <x:v>100</x:v>
      </x:c>
      <x:c r="H459" s="46" t="n">
        <x:f>B459-C459</x:f>
        <x:v>44.5</x:v>
      </x:c>
      <x:c r="I459" s="46" t="n">
        <x:f>LN((B459+1)/(C459+1))</x:f>
        <x:v>0.18932275225293818</x:v>
      </x:c>
      <x:c r="J459" t="str">
        <x:f>IF(A459&lt;"1997-06","Antes","Después")</x:f>
        <x:v>Después</x:v>
      </x:c>
      <x:c r="K459" t="str">
        <x:v>51025090</x:v>
      </x:c>
    </x:row>
    <x:row r="460">
      <x:c r="A460" t="str">
        <x:v>2025-04</x:v>
      </x:c>
      <x:c r="B460" s="44" t="n">
        <x:v>565</x:v>
      </x:c>
      <x:c r="C460" s="44" t="n">
        <x:v>625.8</x:v>
      </x:c>
      <x:c r="D460" t="n">
        <x:v>30</x:v>
      </x:c>
      <x:c r="E460" t="n">
        <x:v>30</x:v>
      </x:c>
      <x:c r="F460" s="46" t="n">
        <x:v>100</x:v>
      </x:c>
      <x:c r="G460" s="46" t="n">
        <x:v>100</x:v>
      </x:c>
      <x:c r="H460" s="46" t="n">
        <x:f>B460-C460</x:f>
        <x:v>-60.799999999999955</x:v>
      </x:c>
      <x:c r="I460" s="46" t="n">
        <x:f>LN((B460+1)/(C460+1))</x:f>
        <x:v>-0.10203343227868279</x:v>
      </x:c>
      <x:c r="J460" t="str">
        <x:f>IF(A460&lt;"1997-06","Antes","Después")</x:f>
        <x:v>Después</x:v>
      </x:c>
      <x:c r="K460" t="str">
        <x:v>51025090</x:v>
      </x:c>
    </x:row>
    <x:row r="461">
      <x:c r="A461" t="str">
        <x:v>2025-05</x:v>
      </x:c>
      <x:c r="B461" s="44" t="n">
        <x:v>221</x:v>
      </x:c>
      <x:c r="C461" s="44" t="n">
        <x:v>555.4</x:v>
      </x:c>
      <x:c r="D461" t="n">
        <x:v>30</x:v>
      </x:c>
      <x:c r="E461" t="n">
        <x:v>31</x:v>
      </x:c>
      <x:c r="F461" s="46" t="n">
        <x:v>96.77</x:v>
      </x:c>
      <x:c r="G461" s="46" t="n">
        <x:v>100</x:v>
      </x:c>
      <x:c r="H461" s="46" t="n">
        <x:f>B461-C461</x:f>
        <x:v>-334.4</x:v>
      </x:c>
      <x:c r="I461" s="46" t="n">
        <x:f>LN((B461+1)/(C461+1))</x:f>
        <x:v>-0.9188100781770083</x:v>
      </x:c>
      <x:c r="J461" t="str">
        <x:f>IF(A461&lt;"1997-06","Antes","Después")</x:f>
        <x:v>Después</x:v>
      </x:c>
      <x:c r="K461" t="str">
        <x:v>51025090</x:v>
      </x:c>
    </x:row>
    <x:row r="462">
      <x:c r="A462" t="str">
        <x:v>2025-06</x:v>
      </x:c>
      <x:c r="B462" s="44" t="n">
        <x:v>343</x:v>
      </x:c>
      <x:c r="C462" s="44" t="n">
        <x:v>260.1</x:v>
      </x:c>
      <x:c r="D462" t="n">
        <x:v>30</x:v>
      </x:c>
      <x:c r="E462" t="n">
        <x:v>30</x:v>
      </x:c>
      <x:c r="F462" s="46" t="n">
        <x:v>100</x:v>
      </x:c>
      <x:c r="G462" s="46" t="n">
        <x:v>100</x:v>
      </x:c>
      <x:c r="H462" s="46" t="n">
        <x:f>B462-C462</x:f>
        <x:v>82.89999999999998</x:v>
      </x:c>
      <x:c r="I462" s="46" t="n">
        <x:f>LN((B462+1)/(C462+1))</x:f>
        <x:v>0.2757381816683151</x:v>
      </x:c>
      <x:c r="J462" t="str">
        <x:f>IF(A462&lt;"1997-06","Antes","Después")</x:f>
        <x:v>Después</x:v>
      </x:c>
      <x:c r="K462" t="str">
        <x:v>51025090</x:v>
      </x:c>
    </x:row>
    <x:row r="463">
      <x:c r="A463" t="str">
        <x:v>2025-07</x:v>
      </x:c>
      <x:c r="B463" s="44" t="n">
        <x:v>250</x:v>
      </x:c>
      <x:c r="C463" s="44" t="n">
        <x:v>130.7</x:v>
      </x:c>
      <x:c r="D463" t="n">
        <x:v>30</x:v>
      </x:c>
      <x:c r="E463" t="n">
        <x:v>31</x:v>
      </x:c>
      <x:c r="F463" s="46" t="n">
        <x:v>96.77</x:v>
      </x:c>
      <x:c r="G463" s="46" t="n">
        <x:v>100</x:v>
      </x:c>
      <x:c r="H463" s="46" t="n">
        <x:f>B463-C463</x:f>
        <x:v>119.30000000000001</x:v>
      </x:c>
      <x:c r="I463" s="46" t="n">
        <x:f>LN((B463+1)/(C463+1))</x:f>
        <x:v>0.6449263303825487</x:v>
      </x:c>
      <x:c r="J463" t="str">
        <x:f>IF(A463&lt;"1997-06","Antes","Después")</x:f>
        <x:v>Después</x:v>
      </x:c>
      <x:c r="K463" t="str">
        <x:v>51025090</x:v>
      </x:c>
    </x:row>
  </x:sheetData>
  <x:mergeCells>
    <x:mergeCell ref="A1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2" customHeight="1">
      <x:c r="A1" s="4" t="str">
        <x:v>Comparaciones por año · mismos meses con cobertura adecuada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7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0" customHeight="1">
      <x:c r="A5" s="15" t="str">
        <x:v>Año</x:v>
      </x:c>
      <x:c r="B5" s="15" t="str">
        <x:v>Meses comparables</x:v>
      </x:c>
      <x:c r="C5" s="15" t="str">
        <x:v>COCO (mm/mes)</x:v>
      </x:c>
      <x:c r="D5" s="15" t="str">
        <x:v>Granja (mm/mes)</x:v>
      </x:c>
      <x:c r="E5" s="15" t="str">
        <x:v>Log-ratio medio</x:v>
      </x:c>
      <x:c r="F5" s="15" t="str">
        <x:v>Total COCO (mm)*</x:v>
      </x:c>
      <x:c r="G5" s="15" t="str">
        <x:v>Total Granja (mm)*</x:v>
      </x:c>
    </x:row>
    <x:row r="6">
      <x:c r="A6" t="n">
        <x:v>1985</x:v>
      </x:c>
      <x:c r="B6" t="n">
        <x:v>12</x:v>
      </x:c>
      <x:c r="C6" t="n">
        <x:v>126.71</x:v>
      </x:c>
      <x:c r="D6" t="n">
        <x:v>186.52</x:v>
      </x:c>
      <x:c r="E6" t="n">
        <x:v>-0.6731</x:v>
      </x:c>
      <x:c r="F6" t="n">
        <x:v>1520.5</x:v>
      </x:c>
      <x:c r="G6" t="n">
        <x:v>2238.2</x:v>
      </x:c>
    </x:row>
    <x:row r="7">
      <x:c r="A7" t="n">
        <x:v>1986</x:v>
      </x:c>
      <x:c r="B7" t="n">
        <x:v>12</x:v>
      </x:c>
      <x:c r="C7" t="n">
        <x:v>94.24</x:v>
      </x:c>
      <x:c r="D7" t="n">
        <x:v>235.05</x:v>
      </x:c>
      <x:c r="E7" t="n">
        <x:v>-0.8815</x:v>
      </x:c>
      <x:c r="F7" t="n">
        <x:v>1130.9</x:v>
      </x:c>
      <x:c r="G7" t="n">
        <x:v>2820.6</x:v>
      </x:c>
    </x:row>
    <x:row r="8">
      <x:c r="A8" t="n">
        <x:v>1987</x:v>
      </x:c>
      <x:c r="B8" t="n">
        <x:v>11</x:v>
      </x:c>
      <x:c r="C8" t="n">
        <x:v>172.36</x:v>
      </x:c>
      <x:c r="D8" t="n">
        <x:v>286.27</x:v>
      </x:c>
      <x:c r="E8" t="n">
        <x:v>-0.64</x:v>
      </x:c>
      <x:c r="F8" t="n">
        <x:v>1896</x:v>
      </x:c>
      <x:c r="G8" t="n">
        <x:v>3149</x:v>
      </x:c>
    </x:row>
    <x:row r="9">
      <x:c r="A9" t="n">
        <x:v>1988</x:v>
      </x:c>
      <x:c r="B9" t="n">
        <x:v>12</x:v>
      </x:c>
      <x:c r="C9" t="n">
        <x:v>111.17</x:v>
      </x:c>
      <x:c r="D9" t="n">
        <x:v>277.32</x:v>
      </x:c>
      <x:c r="E9" t="n">
        <x:v>-1.0732</x:v>
      </x:c>
      <x:c r="F9" t="n">
        <x:v>1334</x:v>
      </x:c>
      <x:c r="G9" t="n">
        <x:v>3327.9</x:v>
      </x:c>
    </x:row>
    <x:row r="10">
      <x:c r="A10" t="n">
        <x:v>1989</x:v>
      </x:c>
      <x:c r="B10" t="n">
        <x:v>12</x:v>
      </x:c>
      <x:c r="C10" t="n">
        <x:v>103.43</x:v>
      </x:c>
      <x:c r="D10" t="n">
        <x:v>226.2</x:v>
      </x:c>
      <x:c r="E10" t="n">
        <x:v>-0.9253</x:v>
      </x:c>
      <x:c r="F10" t="n">
        <x:v>1241.2</x:v>
      </x:c>
      <x:c r="G10" t="n">
        <x:v>2714.4</x:v>
      </x:c>
    </x:row>
    <x:row r="11">
      <x:c r="A11" t="n">
        <x:v>1990</x:v>
      </x:c>
      <x:c r="B11" t="n">
        <x:v>10</x:v>
      </x:c>
      <x:c r="C11" t="n">
        <x:v>151.91</x:v>
      </x:c>
      <x:c r="D11" t="n">
        <x:v>246</x:v>
      </x:c>
      <x:c r="E11" t="n">
        <x:v>-0.6426</x:v>
      </x:c>
      <x:c r="F11" t="n">
        <x:v>1519.1</x:v>
      </x:c>
      <x:c r="G11" t="n">
        <x:v>2460</x:v>
      </x:c>
    </x:row>
    <x:row r="12">
      <x:c r="A12" t="n">
        <x:v>1991</x:v>
      </x:c>
      <x:c r="B12" t="n">
        <x:v>10</x:v>
      </x:c>
      <x:c r="C12" t="n">
        <x:v>187.42</x:v>
      </x:c>
      <x:c r="D12" t="n">
        <x:v>218.48</x:v>
      </x:c>
      <x:c r="E12" t="n">
        <x:v>-0.1311</x:v>
      </x:c>
      <x:c r="F12" t="n">
        <x:v>1874.2</x:v>
      </x:c>
      <x:c r="G12" t="n">
        <x:v>2184.8</x:v>
      </x:c>
    </x:row>
    <x:row r="13">
      <x:c r="A13" t="n">
        <x:v>1992</x:v>
      </x:c>
      <x:c r="B13" t="n">
        <x:v>10</x:v>
      </x:c>
      <x:c r="C13" t="n">
        <x:v>231</x:v>
      </x:c>
      <x:c r="D13" t="n">
        <x:v>228.82</x:v>
      </x:c>
      <x:c r="E13" t="n">
        <x:v>-0.0059</x:v>
      </x:c>
      <x:c r="F13" t="n">
        <x:v>2310</x:v>
      </x:c>
      <x:c r="G13" t="n">
        <x:v>2288.2</x:v>
      </x:c>
    </x:row>
    <x:row r="14">
      <x:c r="A14" t="n">
        <x:v>1993</x:v>
      </x:c>
      <x:c r="B14" t="n">
        <x:v>7</x:v>
      </x:c>
      <x:c r="C14" t="n">
        <x:v>135.07</x:v>
      </x:c>
      <x:c r="D14" t="n">
        <x:v>276.01</x:v>
      </x:c>
      <x:c r="E14" t="n">
        <x:v>-1.4726</x:v>
      </x:c>
      <x:c r="F14" t="n">
        <x:v>945.5</x:v>
      </x:c>
      <x:c r="G14" t="n">
        <x:v>1932.1</x:v>
      </x:c>
    </x:row>
    <x:row r="15">
      <x:c r="A15" t="n">
        <x:v>1994</x:v>
      </x:c>
      <x:c r="B15" t="n">
        <x:v>12</x:v>
      </x:c>
      <x:c r="C15" t="n">
        <x:v>157.62</x:v>
      </x:c>
      <x:c r="D15" t="n">
        <x:v>235.01</x:v>
      </x:c>
      <x:c r="E15" t="n">
        <x:v>-0.5759</x:v>
      </x:c>
      <x:c r="F15" t="n">
        <x:v>1891.5</x:v>
      </x:c>
      <x:c r="G15" t="n">
        <x:v>2820.1</x:v>
      </x:c>
    </x:row>
    <x:row r="16">
      <x:c r="A16" t="n">
        <x:v>1995</x:v>
      </x:c>
      <x:c r="B16" t="n">
        <x:v>12</x:v>
      </x:c>
      <x:c r="C16" t="n">
        <x:v>186.83</x:v>
      </x:c>
      <x:c r="D16" t="n">
        <x:v>195.77</x:v>
      </x:c>
      <x:c r="E16" t="n">
        <x:v>0.1292</x:v>
      </x:c>
      <x:c r="F16" t="n">
        <x:v>2242</x:v>
      </x:c>
      <x:c r="G16" t="n">
        <x:v>2349.2</x:v>
      </x:c>
    </x:row>
    <x:row r="17">
      <x:c r="A17" t="n">
        <x:v>1996</x:v>
      </x:c>
      <x:c r="B17" t="n">
        <x:v>12</x:v>
      </x:c>
      <x:c r="C17" t="n">
        <x:v>166.08</x:v>
      </x:c>
      <x:c r="D17" t="n">
        <x:v>240.62</x:v>
      </x:c>
      <x:c r="E17" t="n">
        <x:v>-0.4193</x:v>
      </x:c>
      <x:c r="F17" t="n">
        <x:v>1993</x:v>
      </x:c>
      <x:c r="G17" t="n">
        <x:v>2887.5</x:v>
      </x:c>
    </x:row>
    <x:row r="18">
      <x:c r="A18" t="n">
        <x:v>1997</x:v>
      </x:c>
      <x:c r="B18" t="n">
        <x:v>12</x:v>
      </x:c>
      <x:c r="C18" t="n">
        <x:v>204</x:v>
      </x:c>
      <x:c r="D18" t="n">
        <x:v>321.83</x:v>
      </x:c>
      <x:c r="E18" t="n">
        <x:v>-0.5184</x:v>
      </x:c>
      <x:c r="F18" t="n">
        <x:v>2448</x:v>
      </x:c>
      <x:c r="G18" t="n">
        <x:v>3862</x:v>
      </x:c>
    </x:row>
    <x:row r="19">
      <x:c r="A19" t="n">
        <x:v>1998</x:v>
      </x:c>
      <x:c r="B19" t="n">
        <x:v>11</x:v>
      </x:c>
      <x:c r="C19" t="n">
        <x:v>357.64</x:v>
      </x:c>
      <x:c r="D19" t="n">
        <x:v>382.39</x:v>
      </x:c>
      <x:c r="E19" t="n">
        <x:v>-0.1219</x:v>
      </x:c>
      <x:c r="F19" t="n">
        <x:v>3934</x:v>
      </x:c>
      <x:c r="G19" t="n">
        <x:v>4206.3</x:v>
      </x:c>
    </x:row>
    <x:row r="20">
      <x:c r="A20" t="n">
        <x:v>1999</x:v>
      </x:c>
      <x:c r="B20" t="n">
        <x:v>12</x:v>
      </x:c>
      <x:c r="C20" t="n">
        <x:v>291.17</x:v>
      </x:c>
      <x:c r="D20" t="n">
        <x:v>319.05</x:v>
      </x:c>
      <x:c r="E20" t="n">
        <x:v>-0.1162</x:v>
      </x:c>
      <x:c r="F20" t="n">
        <x:v>3494</x:v>
      </x:c>
      <x:c r="G20" t="n">
        <x:v>3828.6</x:v>
      </x:c>
    </x:row>
    <x:row r="21">
      <x:c r="A21" t="n">
        <x:v>2000</x:v>
      </x:c>
      <x:c r="B21" t="n">
        <x:v>12</x:v>
      </x:c>
      <x:c r="C21" t="n">
        <x:v>229.8</x:v>
      </x:c>
      <x:c r="D21" t="n">
        <x:v>242.67</x:v>
      </x:c>
      <x:c r="E21" t="n">
        <x:v>-0.0128</x:v>
      </x:c>
      <x:c r="F21" t="n">
        <x:v>2757.6</x:v>
      </x:c>
      <x:c r="G21" t="n">
        <x:v>2912</x:v>
      </x:c>
    </x:row>
    <x:row r="22">
      <x:c r="A22" t="n">
        <x:v>2001</x:v>
      </x:c>
      <x:c r="B22" t="n">
        <x:v>12</x:v>
      </x:c>
      <x:c r="C22" t="n">
        <x:v>264.92</x:v>
      </x:c>
      <x:c r="D22" t="n">
        <x:v>156.95</x:v>
      </x:c>
      <x:c r="E22" t="n">
        <x:v>0.0855</x:v>
      </x:c>
      <x:c r="F22" t="n">
        <x:v>3179</x:v>
      </x:c>
      <x:c r="G22" t="n">
        <x:v>1883.4</x:v>
      </x:c>
    </x:row>
    <x:row r="23">
      <x:c r="A23" t="n">
        <x:v>2002</x:v>
      </x:c>
      <x:c r="B23" t="n">
        <x:v>12</x:v>
      </x:c>
      <x:c r="C23" t="n">
        <x:v>330.34</x:v>
      </x:c>
      <x:c r="D23" t="n">
        <x:v>285.98</x:v>
      </x:c>
      <x:c r="E23" t="n">
        <x:v>-0.0108</x:v>
      </x:c>
      <x:c r="F23" t="n">
        <x:v>3964.1</x:v>
      </x:c>
      <x:c r="G23" t="n">
        <x:v>3431.8</x:v>
      </x:c>
    </x:row>
    <x:row r="24">
      <x:c r="A24" t="n">
        <x:v>2003</x:v>
      </x:c>
      <x:c r="B24" t="n">
        <x:v>11</x:v>
      </x:c>
      <x:c r="C24" t="n">
        <x:v>425.55</x:v>
      </x:c>
      <x:c r="D24" t="n">
        <x:v>276.83</x:v>
      </x:c>
      <x:c r="E24" t="n">
        <x:v>0.5743</x:v>
      </x:c>
      <x:c r="F24" t="n">
        <x:v>4681</x:v>
      </x:c>
      <x:c r="G24" t="n">
        <x:v>3045.1</x:v>
      </x:c>
    </x:row>
    <x:row r="25">
      <x:c r="A25" t="n">
        <x:v>2004</x:v>
      </x:c>
      <x:c r="B25" t="n">
        <x:v>11</x:v>
      </x:c>
      <x:c r="C25" t="n">
        <x:v>269.55</x:v>
      </x:c>
      <x:c r="D25" t="n">
        <x:v>191.35</x:v>
      </x:c>
      <x:c r="E25" t="n">
        <x:v>0.0392</x:v>
      </x:c>
      <x:c r="F25" t="n">
        <x:v>2965</x:v>
      </x:c>
      <x:c r="G25" t="n">
        <x:v>2104.9</x:v>
      </x:c>
    </x:row>
    <x:row r="26">
      <x:c r="A26" t="n">
        <x:v>2005</x:v>
      </x:c>
      <x:c r="B26" t="n">
        <x:v>12</x:v>
      </x:c>
      <x:c r="C26" t="n">
        <x:v>169.08</x:v>
      </x:c>
      <x:c r="D26" t="n">
        <x:v>177.07</x:v>
      </x:c>
      <x:c r="E26" t="n">
        <x:v>-0.1917</x:v>
      </x:c>
      <x:c r="F26" t="n">
        <x:v>2029</x:v>
      </x:c>
      <x:c r="G26" t="n">
        <x:v>2124.8</x:v>
      </x:c>
    </x:row>
    <x:row r="27">
      <x:c r="A27" t="n">
        <x:v>2006</x:v>
      </x:c>
      <x:c r="B27" t="n">
        <x:v>10</x:v>
      </x:c>
      <x:c r="C27" t="n">
        <x:v>229.8</x:v>
      </x:c>
      <x:c r="D27" t="n">
        <x:v>207.3</x:v>
      </x:c>
      <x:c r="E27" t="n">
        <x:v>-0.1023</x:v>
      </x:c>
      <x:c r="F27" t="n">
        <x:v>2298</x:v>
      </x:c>
      <x:c r="G27" t="n">
        <x:v>2073</x:v>
      </x:c>
    </x:row>
    <x:row r="28">
      <x:c r="A28" t="n">
        <x:v>2007</x:v>
      </x:c>
      <x:c r="B28" t="n">
        <x:v>11</x:v>
      </x:c>
      <x:c r="C28" t="n">
        <x:v>236.09</x:v>
      </x:c>
      <x:c r="D28" t="n">
        <x:v>226.61</x:v>
      </x:c>
      <x:c r="E28" t="n">
        <x:v>-0.0348</x:v>
      </x:c>
      <x:c r="F28" t="n">
        <x:v>2597</x:v>
      </x:c>
      <x:c r="G28" t="n">
        <x:v>2492.7</x:v>
      </x:c>
    </x:row>
    <x:row r="29">
      <x:c r="A29" t="n">
        <x:v>2008</x:v>
      </x:c>
      <x:c r="B29" t="n">
        <x:v>8</x:v>
      </x:c>
      <x:c r="C29" t="n">
        <x:v>270.75</x:v>
      </x:c>
      <x:c r="D29" t="n">
        <x:v>207.76</x:v>
      </x:c>
      <x:c r="E29" t="n">
        <x:v>0.2621</x:v>
      </x:c>
      <x:c r="F29" t="n">
        <x:v>2166</x:v>
      </x:c>
      <x:c r="G29" t="n">
        <x:v>1662.1</x:v>
      </x:c>
    </x:row>
    <x:row r="30">
      <x:c r="A30" t="n">
        <x:v>2009</x:v>
      </x:c>
      <x:c r="B30" t="n">
        <x:v>11</x:v>
      </x:c>
      <x:c r="C30" t="n">
        <x:v>124.55</x:v>
      </x:c>
      <x:c r="D30" t="n">
        <x:v>136.35</x:v>
      </x:c>
      <x:c r="E30" t="n">
        <x:v>-0.3741</x:v>
      </x:c>
      <x:c r="F30" t="n">
        <x:v>1370</x:v>
      </x:c>
      <x:c r="G30" t="n">
        <x:v>1499.8</x:v>
      </x:c>
    </x:row>
    <x:row r="31">
      <x:c r="A31" t="n">
        <x:v>2010</x:v>
      </x:c>
      <x:c r="B31" t="n">
        <x:v>12</x:v>
      </x:c>
      <x:c r="C31" t="n">
        <x:v>241.5</x:v>
      </x:c>
      <x:c r="D31" t="n">
        <x:v>302.48</x:v>
      </x:c>
      <x:c r="E31" t="n">
        <x:v>-0.2059</x:v>
      </x:c>
      <x:c r="F31" t="n">
        <x:v>2898</x:v>
      </x:c>
      <x:c r="G31" t="n">
        <x:v>3629.8</x:v>
      </x:c>
    </x:row>
    <x:row r="32">
      <x:c r="A32" t="n">
        <x:v>2011</x:v>
      </x:c>
      <x:c r="B32" t="n">
        <x:v>12</x:v>
      </x:c>
      <x:c r="C32" t="n">
        <x:v>134.67</x:v>
      </x:c>
      <x:c r="D32" t="n">
        <x:v>173.67</x:v>
      </x:c>
      <x:c r="E32" t="n">
        <x:v>-0.4674</x:v>
      </x:c>
      <x:c r="F32" t="n">
        <x:v>1616</x:v>
      </x:c>
      <x:c r="G32" t="n">
        <x:v>2084</x:v>
      </x:c>
    </x:row>
    <x:row r="33">
      <x:c r="A33" t="n">
        <x:v>2012</x:v>
      </x:c>
      <x:c r="B33" t="n">
        <x:v>12</x:v>
      </x:c>
      <x:c r="C33" t="n">
        <x:v>201.08</x:v>
      </x:c>
      <x:c r="D33" t="n">
        <x:v>255.62</x:v>
      </x:c>
      <x:c r="E33" t="n">
        <x:v>-0.2895</x:v>
      </x:c>
      <x:c r="F33" t="n">
        <x:v>2413</x:v>
      </x:c>
      <x:c r="G33" t="n">
        <x:v>3067.5</x:v>
      </x:c>
    </x:row>
    <x:row r="34">
      <x:c r="A34" t="n">
        <x:v>2013</x:v>
      </x:c>
      <x:c r="B34" t="n">
        <x:v>12</x:v>
      </x:c>
      <x:c r="C34" t="n">
        <x:v>201.33</x:v>
      </x:c>
      <x:c r="D34" t="n">
        <x:v>222.05</x:v>
      </x:c>
      <x:c r="E34" t="n">
        <x:v>-0.4364</x:v>
      </x:c>
      <x:c r="F34" t="n">
        <x:v>2416</x:v>
      </x:c>
      <x:c r="G34" t="n">
        <x:v>2664.6</x:v>
      </x:c>
    </x:row>
    <x:row r="35">
      <x:c r="A35" t="n">
        <x:v>2014</x:v>
      </x:c>
      <x:c r="B35" t="n">
        <x:v>12</x:v>
      </x:c>
      <x:c r="C35" t="n">
        <x:v>236.83</x:v>
      </x:c>
      <x:c r="D35" t="n">
        <x:v>301.25</x:v>
      </x:c>
      <x:c r="E35" t="n">
        <x:v>-0.3371</x:v>
      </x:c>
      <x:c r="F35" t="n">
        <x:v>2842</x:v>
      </x:c>
      <x:c r="G35" t="n">
        <x:v>3615</x:v>
      </x:c>
    </x:row>
    <x:row r="36">
      <x:c r="A36" t="n">
        <x:v>2015</x:v>
      </x:c>
      <x:c r="B36" t="n">
        <x:v>12</x:v>
      </x:c>
      <x:c r="C36" t="n">
        <x:v>274.25</x:v>
      </x:c>
      <x:c r="D36" t="n">
        <x:v>300.67</x:v>
      </x:c>
      <x:c r="E36" t="n">
        <x:v>0.028</x:v>
      </x:c>
      <x:c r="F36" t="n">
        <x:v>3291</x:v>
      </x:c>
      <x:c r="G36" t="n">
        <x:v>3608</x:v>
      </x:c>
    </x:row>
    <x:row r="37">
      <x:c r="A37" t="n">
        <x:v>2016</x:v>
      </x:c>
      <x:c r="B37" t="n">
        <x:v>10</x:v>
      </x:c>
      <x:c r="C37" t="n">
        <x:v>371.1</x:v>
      </x:c>
      <x:c r="D37" t="n">
        <x:v>418.99</x:v>
      </x:c>
      <x:c r="E37" t="n">
        <x:v>-0.2767</x:v>
      </x:c>
      <x:c r="F37" t="n">
        <x:v>3711</x:v>
      </x:c>
      <x:c r="G37" t="n">
        <x:v>4189.9</x:v>
      </x:c>
    </x:row>
    <x:row r="38">
      <x:c r="A38" t="n">
        <x:v>2017</x:v>
      </x:c>
      <x:c r="B38" t="n">
        <x:v>12</x:v>
      </x:c>
      <x:c r="C38" t="n">
        <x:v>308</x:v>
      </x:c>
      <x:c r="D38" t="n">
        <x:v>265.74</x:v>
      </x:c>
      <x:c r="E38" t="n">
        <x:v>0.0808</x:v>
      </x:c>
      <x:c r="F38" t="n">
        <x:v>3696</x:v>
      </x:c>
      <x:c r="G38" t="n">
        <x:v>3188.9</x:v>
      </x:c>
    </x:row>
    <x:row r="39">
      <x:c r="A39" t="n">
        <x:v>2018</x:v>
      </x:c>
      <x:c r="B39" t="n">
        <x:v>12</x:v>
      </x:c>
      <x:c r="C39" t="n">
        <x:v>227.75</x:v>
      </x:c>
      <x:c r="D39" t="n">
        <x:v>228.2</x:v>
      </x:c>
      <x:c r="E39" t="n">
        <x:v>-0.0713</x:v>
      </x:c>
      <x:c r="F39" t="n">
        <x:v>2733</x:v>
      </x:c>
      <x:c r="G39" t="n">
        <x:v>2738.4</x:v>
      </x:c>
    </x:row>
    <x:row r="40">
      <x:c r="A40" t="n">
        <x:v>2019</x:v>
      </x:c>
      <x:c r="B40" t="n">
        <x:v>9</x:v>
      </x:c>
      <x:c r="C40" t="n">
        <x:v>243.56</x:v>
      </x:c>
      <x:c r="D40" t="n">
        <x:v>216</x:v>
      </x:c>
      <x:c r="E40" t="n">
        <x:v>0.1428</x:v>
      </x:c>
      <x:c r="F40" t="n">
        <x:v>2192</x:v>
      </x:c>
      <x:c r="G40" t="n">
        <x:v>1944</x:v>
      </x:c>
    </x:row>
    <x:row r="41">
      <x:c r="A41" t="n">
        <x:v>2020</x:v>
      </x:c>
      <x:c r="B41" t="n">
        <x:v>12</x:v>
      </x:c>
      <x:c r="C41" t="n">
        <x:v>263.75</x:v>
      </x:c>
      <x:c r="D41" t="n">
        <x:v>242.77</x:v>
      </x:c>
      <x:c r="E41" t="n">
        <x:v>0.0455</x:v>
      </x:c>
      <x:c r="F41" t="n">
        <x:v>3165</x:v>
      </x:c>
      <x:c r="G41" t="n">
        <x:v>2913.2</x:v>
      </x:c>
    </x:row>
    <x:row r="42">
      <x:c r="A42" t="n">
        <x:v>2021</x:v>
      </x:c>
      <x:c r="B42" t="n">
        <x:v>12</x:v>
      </x:c>
      <x:c r="C42" t="n">
        <x:v>249.25</x:v>
      </x:c>
      <x:c r="D42" t="n">
        <x:v>272.13</x:v>
      </x:c>
      <x:c r="E42" t="n">
        <x:v>-0.0922</x:v>
      </x:c>
      <x:c r="F42" t="n">
        <x:v>2991</x:v>
      </x:c>
      <x:c r="G42" t="n">
        <x:v>3265.6</x:v>
      </x:c>
    </x:row>
    <x:row r="43">
      <x:c r="A43" t="n">
        <x:v>2022</x:v>
      </x:c>
      <x:c r="B43" t="n">
        <x:v>12</x:v>
      </x:c>
      <x:c r="C43" t="n">
        <x:v>283.67</x:v>
      </x:c>
      <x:c r="D43" t="n">
        <x:v>270.58</x:v>
      </x:c>
      <x:c r="E43" t="n">
        <x:v>-0.0093</x:v>
      </x:c>
      <x:c r="F43" t="n">
        <x:v>3404</x:v>
      </x:c>
      <x:c r="G43" t="n">
        <x:v>3247</x:v>
      </x:c>
    </x:row>
    <x:row r="44">
      <x:c r="A44" t="n">
        <x:v>2023</x:v>
      </x:c>
      <x:c r="B44" t="n">
        <x:v>11</x:v>
      </x:c>
      <x:c r="C44" t="n">
        <x:v>408.82</x:v>
      </x:c>
      <x:c r="D44" t="n">
        <x:v>344.03</x:v>
      </x:c>
      <x:c r="E44" t="n">
        <x:v>0.224</x:v>
      </x:c>
      <x:c r="F44" t="n">
        <x:v>4497</x:v>
      </x:c>
      <x:c r="G44" t="n">
        <x:v>3784.3</x:v>
      </x:c>
    </x:row>
    <x:row r="45">
      <x:c r="A45" t="n">
        <x:v>2024</x:v>
      </x:c>
      <x:c r="B45" t="n">
        <x:v>12</x:v>
      </x:c>
      <x:c r="C45" t="n">
        <x:v>447.33</x:v>
      </x:c>
      <x:c r="D45" t="n">
        <x:v>254.53</x:v>
      </x:c>
      <x:c r="E45" t="n">
        <x:v>0.4071</x:v>
      </x:c>
      <x:c r="F45" t="n">
        <x:v>5368</x:v>
      </x:c>
      <x:c r="G45" t="n">
        <x:v>3054.4</x:v>
      </x:c>
    </x:row>
    <x:row r="46">
      <x:c r="A46" t="n">
        <x:v>2025</x:v>
      </x:c>
      <x:c r="B46" t="n">
        <x:v>7</x:v>
      </x:c>
      <x:c r="C46" t="n">
        <x:v>377.43</x:v>
      </x:c>
      <x:c r="D46" t="n">
        <x:v>398.54</x:v>
      </x:c>
      <x:c r="E46" t="n">
        <x:v>0.0004</x:v>
      </x:c>
      <x:c r="F46" t="n">
        <x:v>2642</x:v>
      </x:c>
      <x:c r="G46" t="n">
        <x:v>2789.8</x:v>
      </x:c>
    </x:row>
    <x:row r="51" ht="27" customHeight="1">
      <x:c r="A51" s="48" t="str">
        <x:v>* Totales del subconjunto de meses comparables, no necesariamente precipitación anual completa.</x:v>
      </x:c>
      <x:c r="B51" s="48"/>
      <x:c r="C51" s="48"/>
      <x:c r="D51" s="48"/>
      <x:c r="E51" s="48"/>
      <x:c r="F51" s="48"/>
      <x:c r="G51" s="48"/>
      <x:c r="H51" s="48"/>
      <x:c r="I51" s="48"/>
      <x:c r="J51" s="48"/>
    </x:row>
    <x:row r="52" ht="27" customHeight="1">
      <x:c r="A52" s="40" t="str">
        <x:v>Las series de barras/líneas muestran promedios por mes comparable; no extrapolan meses ausentes.</x:v>
      </x:c>
      <x:c r="B52" s="40"/>
      <x:c r="C52" s="40"/>
      <x:c r="D52" s="40"/>
      <x:c r="E52" s="40"/>
      <x:c r="F52" s="40"/>
      <x:c r="G52" s="40"/>
      <x:c r="H52" s="40"/>
      <x:c r="I52" s="40"/>
      <x:c r="J52" s="40"/>
    </x:row>
  </x:sheetData>
  <x:mergeCells>
    <x:mergeCell ref="A1:J2"/>
    <x:mergeCell ref="A51:J51"/>
    <x:mergeCell ref="A52:J52"/>
  </x:mergeCells>
  <x:pageMargins left="0.7" right="0.7" top="0.75" bottom="0.75" header="0.3" footer="0.3"/>
  <x:drawing xmlns:r="http://schemas.openxmlformats.org/officeDocument/2006/relationships" r:id="Radbb47facc8246d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19" hidden="0" customWidth="1"/>
    <x:col min="5" max="5" width="30" hidden="0" customWidth="1"/>
    <x:col min="6" max="6" width="34" hidden="0" customWidth="1"/>
  </x:cols>
  <x:sheetData>
    <x:row r="1" ht="22" customHeight="1">
      <x:c r="A1" s="4" t="str">
        <x:v>Cobertura y completitud de Granja El Mira · DHIME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7" customHeight="1">
      <x:c r="A3" s="8"/>
      <x:c r="B3" s="8"/>
      <x:c r="C3" s="8"/>
      <x:c r="D3" s="8"/>
      <x:c r="E3" s="8"/>
      <x:c r="F3" s="8"/>
    </x:row>
    <x:row r="5" ht="30" customHeight="1">
      <x:c r="A5" s="15" t="str">
        <x:v>Año</x:v>
      </x:c>
      <x:c r="B5" s="15" t="str">
        <x:v>Días Granja</x:v>
      </x:c>
      <x:c r="C5" s="15" t="str">
        <x:v>Meses presentes</x:v>
      </x:c>
      <x:c r="D5" s="15" t="str">
        <x:v>Meses ≥90%</x:v>
      </x:c>
      <x:c r="E5" s="15" t="str">
        <x:v>Precip. registrada (mm)</x:v>
      </x:c>
      <x:c r="F5" s="15" t="str">
        <x:v>Meses pareados COCO/Granja</x:v>
      </x:c>
    </x:row>
    <x:row r="6">
      <x:c r="A6" t="n">
        <x:v>1970</x:v>
      </x:c>
      <x:c r="B6" t="n">
        <x:v>364</x:v>
      </x:c>
      <x:c r="C6" t="n">
        <x:v>12</x:v>
      </x:c>
      <x:c r="D6" t="n">
        <x:v>12</x:v>
      </x:c>
      <x:c r="E6" s="44" t="n">
        <x:v>3864.2</x:v>
      </x:c>
      <x:c r="F6" t="n">
        <x:v>0</x:v>
      </x:c>
    </x:row>
    <x:row r="7">
      <x:c r="A7" t="n">
        <x:v>1971</x:v>
      </x:c>
      <x:c r="B7" t="n">
        <x:v>363</x:v>
      </x:c>
      <x:c r="C7" t="n">
        <x:v>12</x:v>
      </x:c>
      <x:c r="D7" t="n">
        <x:v>12</x:v>
      </x:c>
      <x:c r="E7" s="44" t="n">
        <x:v>2669.5</x:v>
      </x:c>
      <x:c r="F7" t="n">
        <x:v>0</x:v>
      </x:c>
    </x:row>
    <x:row r="8">
      <x:c r="A8" t="n">
        <x:v>1972</x:v>
      </x:c>
      <x:c r="B8" t="n">
        <x:v>356</x:v>
      </x:c>
      <x:c r="C8" t="n">
        <x:v>12</x:v>
      </x:c>
      <x:c r="D8" t="n">
        <x:v>11</x:v>
      </x:c>
      <x:c r="E8" s="44" t="n">
        <x:v>3032.2</x:v>
      </x:c>
      <x:c r="F8" t="n">
        <x:v>0</x:v>
      </x:c>
    </x:row>
    <x:row r="9">
      <x:c r="A9" t="n">
        <x:v>1973</x:v>
      </x:c>
      <x:c r="B9" t="n">
        <x:v>365</x:v>
      </x:c>
      <x:c r="C9" t="n">
        <x:v>12</x:v>
      </x:c>
      <x:c r="D9" t="n">
        <x:v>12</x:v>
      </x:c>
      <x:c r="E9" s="44" t="n">
        <x:v>3444.3</x:v>
      </x:c>
      <x:c r="F9" t="n">
        <x:v>0</x:v>
      </x:c>
    </x:row>
    <x:row r="10">
      <x:c r="A10" t="n">
        <x:v>1974</x:v>
      </x:c>
      <x:c r="B10" t="n">
        <x:v>364</x:v>
      </x:c>
      <x:c r="C10" t="n">
        <x:v>12</x:v>
      </x:c>
      <x:c r="D10" t="n">
        <x:v>12</x:v>
      </x:c>
      <x:c r="E10" s="44" t="n">
        <x:v>2927.6</x:v>
      </x:c>
      <x:c r="F10" t="n">
        <x:v>0</x:v>
      </x:c>
    </x:row>
    <x:row r="11">
      <x:c r="A11" t="n">
        <x:v>1975</x:v>
      </x:c>
      <x:c r="B11" t="n">
        <x:v>365</x:v>
      </x:c>
      <x:c r="C11" t="n">
        <x:v>12</x:v>
      </x:c>
      <x:c r="D11" t="n">
        <x:v>12</x:v>
      </x:c>
      <x:c r="E11" s="44" t="n">
        <x:v>3744.7</x:v>
      </x:c>
      <x:c r="F11" t="n">
        <x:v>0</x:v>
      </x:c>
    </x:row>
    <x:row r="12">
      <x:c r="A12" t="n">
        <x:v>1976</x:v>
      </x:c>
      <x:c r="B12" t="n">
        <x:v>365</x:v>
      </x:c>
      <x:c r="C12" t="n">
        <x:v>12</x:v>
      </x:c>
      <x:c r="D12" t="n">
        <x:v>12</x:v>
      </x:c>
      <x:c r="E12" s="44" t="n">
        <x:v>2947.9</x:v>
      </x:c>
      <x:c r="F12" t="n">
        <x:v>0</x:v>
      </x:c>
    </x:row>
    <x:row r="13">
      <x:c r="A13" t="n">
        <x:v>1977</x:v>
      </x:c>
      <x:c r="B13" t="n">
        <x:v>365</x:v>
      </x:c>
      <x:c r="C13" t="n">
        <x:v>12</x:v>
      </x:c>
      <x:c r="D13" t="n">
        <x:v>12</x:v>
      </x:c>
      <x:c r="E13" s="44" t="n">
        <x:v>2887.6</x:v>
      </x:c>
      <x:c r="F13" t="n">
        <x:v>0</x:v>
      </x:c>
    </x:row>
    <x:row r="14">
      <x:c r="A14" t="n">
        <x:v>1978</x:v>
      </x:c>
      <x:c r="B14" t="n">
        <x:v>361</x:v>
      </x:c>
      <x:c r="C14" t="n">
        <x:v>12</x:v>
      </x:c>
      <x:c r="D14" t="n">
        <x:v>12</x:v>
      </x:c>
      <x:c r="E14" s="44" t="n">
        <x:v>2844.1</x:v>
      </x:c>
      <x:c r="F14" t="n">
        <x:v>0</x:v>
      </x:c>
    </x:row>
    <x:row r="15">
      <x:c r="A15" t="n">
        <x:v>1979</x:v>
      </x:c>
      <x:c r="B15" t="n">
        <x:v>365</x:v>
      </x:c>
      <x:c r="C15" t="n">
        <x:v>12</x:v>
      </x:c>
      <x:c r="D15" t="n">
        <x:v>12</x:v>
      </x:c>
      <x:c r="E15" s="44" t="n">
        <x:v>2696.9</x:v>
      </x:c>
      <x:c r="F15" t="n">
        <x:v>0</x:v>
      </x:c>
    </x:row>
    <x:row r="16">
      <x:c r="A16" t="n">
        <x:v>1980</x:v>
      </x:c>
      <x:c r="B16" t="n">
        <x:v>366</x:v>
      </x:c>
      <x:c r="C16" t="n">
        <x:v>12</x:v>
      </x:c>
      <x:c r="D16" t="n">
        <x:v>12</x:v>
      </x:c>
      <x:c r="E16" s="44" t="n">
        <x:v>1991.9</x:v>
      </x:c>
      <x:c r="F16" t="n">
        <x:v>0</x:v>
      </x:c>
    </x:row>
    <x:row r="17">
      <x:c r="A17" t="n">
        <x:v>1981</x:v>
      </x:c>
      <x:c r="B17" t="n">
        <x:v>365</x:v>
      </x:c>
      <x:c r="C17" t="n">
        <x:v>12</x:v>
      </x:c>
      <x:c r="D17" t="n">
        <x:v>12</x:v>
      </x:c>
      <x:c r="E17" s="44" t="n">
        <x:v>2764.2</x:v>
      </x:c>
      <x:c r="F17" t="n">
        <x:v>0</x:v>
      </x:c>
    </x:row>
    <x:row r="18">
      <x:c r="A18" t="n">
        <x:v>1982</x:v>
      </x:c>
      <x:c r="B18" t="n">
        <x:v>364</x:v>
      </x:c>
      <x:c r="C18" t="n">
        <x:v>12</x:v>
      </x:c>
      <x:c r="D18" t="n">
        <x:v>12</x:v>
      </x:c>
      <x:c r="E18" s="44" t="n">
        <x:v>3058.7</x:v>
      </x:c>
      <x:c r="F18" t="n">
        <x:v>0</x:v>
      </x:c>
    </x:row>
    <x:row r="19">
      <x:c r="A19" t="n">
        <x:v>1983</x:v>
      </x:c>
      <x:c r="B19" t="n">
        <x:v>365</x:v>
      </x:c>
      <x:c r="C19" t="n">
        <x:v>12</x:v>
      </x:c>
      <x:c r="D19" t="n">
        <x:v>12</x:v>
      </x:c>
      <x:c r="E19" s="44" t="n">
        <x:v>4022.7</x:v>
      </x:c>
      <x:c r="F19" t="n">
        <x:v>0</x:v>
      </x:c>
    </x:row>
    <x:row r="20">
      <x:c r="A20" t="n">
        <x:v>1984</x:v>
      </x:c>
      <x:c r="B20" t="n">
        <x:v>361</x:v>
      </x:c>
      <x:c r="C20" t="n">
        <x:v>12</x:v>
      </x:c>
      <x:c r="D20" t="n">
        <x:v>11</x:v>
      </x:c>
      <x:c r="E20" s="44" t="n">
        <x:v>3788.6</x:v>
      </x:c>
      <x:c r="F20" t="n">
        <x:v>0</x:v>
      </x:c>
    </x:row>
    <x:row r="21">
      <x:c r="A21" t="n">
        <x:v>1985</x:v>
      </x:c>
      <x:c r="B21" t="n">
        <x:v>364</x:v>
      </x:c>
      <x:c r="C21" t="n">
        <x:v>12</x:v>
      </x:c>
      <x:c r="D21" t="n">
        <x:v>12</x:v>
      </x:c>
      <x:c r="E21" s="44" t="n">
        <x:v>2238.2</x:v>
      </x:c>
      <x:c r="F21" t="n">
        <x:v>12</x:v>
      </x:c>
    </x:row>
    <x:row r="22">
      <x:c r="A22" t="n">
        <x:v>1986</x:v>
      </x:c>
      <x:c r="B22" t="n">
        <x:v>365</x:v>
      </x:c>
      <x:c r="C22" t="n">
        <x:v>12</x:v>
      </x:c>
      <x:c r="D22" t="n">
        <x:v>12</x:v>
      </x:c>
      <x:c r="E22" s="44" t="n">
        <x:v>2820.6</x:v>
      </x:c>
      <x:c r="F22" t="n">
        <x:v>12</x:v>
      </x:c>
    </x:row>
    <x:row r="23">
      <x:c r="A23" t="n">
        <x:v>1987</x:v>
      </x:c>
      <x:c r="B23" t="n">
        <x:v>365</x:v>
      </x:c>
      <x:c r="C23" t="n">
        <x:v>12</x:v>
      </x:c>
      <x:c r="D23" t="n">
        <x:v>12</x:v>
      </x:c>
      <x:c r="E23" s="44" t="n">
        <x:v>3485.4</x:v>
      </x:c>
      <x:c r="F23" t="n">
        <x:v>11</x:v>
      </x:c>
    </x:row>
    <x:row r="24">
      <x:c r="A24" t="n">
        <x:v>1988</x:v>
      </x:c>
      <x:c r="B24" t="n">
        <x:v>366</x:v>
      </x:c>
      <x:c r="C24" t="n">
        <x:v>12</x:v>
      </x:c>
      <x:c r="D24" t="n">
        <x:v>12</x:v>
      </x:c>
      <x:c r="E24" s="44" t="n">
        <x:v>3327.9</x:v>
      </x:c>
      <x:c r="F24" t="n">
        <x:v>12</x:v>
      </x:c>
    </x:row>
    <x:row r="25">
      <x:c r="A25" t="n">
        <x:v>1989</x:v>
      </x:c>
      <x:c r="B25" t="n">
        <x:v>365</x:v>
      </x:c>
      <x:c r="C25" t="n">
        <x:v>12</x:v>
      </x:c>
      <x:c r="D25" t="n">
        <x:v>12</x:v>
      </x:c>
      <x:c r="E25" s="44" t="n">
        <x:v>2714.4</x:v>
      </x:c>
      <x:c r="F25" t="n">
        <x:v>12</x:v>
      </x:c>
    </x:row>
    <x:row r="26">
      <x:c r="A26" t="n">
        <x:v>1990</x:v>
      </x:c>
      <x:c r="B26" t="n">
        <x:v>324</x:v>
      </x:c>
      <x:c r="C26" t="n">
        <x:v>11</x:v>
      </x:c>
      <x:c r="D26" t="n">
        <x:v>10</x:v>
      </x:c>
      <x:c r="E26" s="44" t="n">
        <x:v>2558.5</x:v>
      </x:c>
      <x:c r="F26" t="n">
        <x:v>10</x:v>
      </x:c>
    </x:row>
    <x:row r="27">
      <x:c r="A27" t="n">
        <x:v>1991</x:v>
      </x:c>
      <x:c r="B27" t="n">
        <x:v>352</x:v>
      </x:c>
      <x:c r="C27" t="n">
        <x:v>12</x:v>
      </x:c>
      <x:c r="D27" t="n">
        <x:v>10</x:v>
      </x:c>
      <x:c r="E27" s="44" t="n">
        <x:v>2448.7</x:v>
      </x:c>
      <x:c r="F27" t="n">
        <x:v>10</x:v>
      </x:c>
    </x:row>
    <x:row r="28">
      <x:c r="A28" t="n">
        <x:v>1992</x:v>
      </x:c>
      <x:c r="B28" t="n">
        <x:v>343</x:v>
      </x:c>
      <x:c r="C28" t="n">
        <x:v>12</x:v>
      </x:c>
      <x:c r="D28" t="n">
        <x:v>10</x:v>
      </x:c>
      <x:c r="E28" s="44" t="n">
        <x:v>2634.2</x:v>
      </x:c>
      <x:c r="F28" t="n">
        <x:v>10</x:v>
      </x:c>
    </x:row>
    <x:row r="29">
      <x:c r="A29" t="n">
        <x:v>1993</x:v>
      </x:c>
      <x:c r="B29" t="n">
        <x:v>317</x:v>
      </x:c>
      <x:c r="C29" t="n">
        <x:v>12</x:v>
      </x:c>
      <x:c r="D29" t="n">
        <x:v>7</x:v>
      </x:c>
      <x:c r="E29" s="44" t="n">
        <x:v>2846.3</x:v>
      </x:c>
      <x:c r="F29" t="n">
        <x:v>7</x:v>
      </x:c>
    </x:row>
    <x:row r="30">
      <x:c r="A30" t="n">
        <x:v>1994</x:v>
      </x:c>
      <x:c r="B30" t="n">
        <x:v>365</x:v>
      </x:c>
      <x:c r="C30" t="n">
        <x:v>12</x:v>
      </x:c>
      <x:c r="D30" t="n">
        <x:v>12</x:v>
      </x:c>
      <x:c r="E30" s="44" t="n">
        <x:v>2820.1</x:v>
      </x:c>
      <x:c r="F30" t="n">
        <x:v>12</x:v>
      </x:c>
    </x:row>
    <x:row r="31">
      <x:c r="A31" t="n">
        <x:v>1995</x:v>
      </x:c>
      <x:c r="B31" t="n">
        <x:v>365</x:v>
      </x:c>
      <x:c r="C31" t="n">
        <x:v>12</x:v>
      </x:c>
      <x:c r="D31" t="n">
        <x:v>12</x:v>
      </x:c>
      <x:c r="E31" s="44" t="n">
        <x:v>2349.2</x:v>
      </x:c>
      <x:c r="F31" t="n">
        <x:v>12</x:v>
      </x:c>
    </x:row>
    <x:row r="32">
      <x:c r="A32" t="n">
        <x:v>1996</x:v>
      </x:c>
      <x:c r="B32" t="n">
        <x:v>364</x:v>
      </x:c>
      <x:c r="C32" t="n">
        <x:v>12</x:v>
      </x:c>
      <x:c r="D32" t="n">
        <x:v>12</x:v>
      </x:c>
      <x:c r="E32" s="44" t="n">
        <x:v>2887.5</x:v>
      </x:c>
      <x:c r="F32" t="n">
        <x:v>12</x:v>
      </x:c>
    </x:row>
    <x:row r="33">
      <x:c r="A33" t="n">
        <x:v>1997</x:v>
      </x:c>
      <x:c r="B33" t="n">
        <x:v>362</x:v>
      </x:c>
      <x:c r="C33" t="n">
        <x:v>12</x:v>
      </x:c>
      <x:c r="D33" t="n">
        <x:v>12</x:v>
      </x:c>
      <x:c r="E33" s="44" t="n">
        <x:v>3862</x:v>
      </x:c>
      <x:c r="F33" t="n">
        <x:v>12</x:v>
      </x:c>
    </x:row>
    <x:row r="34">
      <x:c r="A34" t="n">
        <x:v>1998</x:v>
      </x:c>
      <x:c r="B34" t="n">
        <x:v>345</x:v>
      </x:c>
      <x:c r="C34" t="n">
        <x:v>12</x:v>
      </x:c>
      <x:c r="D34" t="n">
        <x:v>11</x:v>
      </x:c>
      <x:c r="E34" s="44" t="n">
        <x:v>4285.2</x:v>
      </x:c>
      <x:c r="F34" t="n">
        <x:v>11</x:v>
      </x:c>
    </x:row>
    <x:row r="35">
      <x:c r="A35" t="n">
        <x:v>1999</x:v>
      </x:c>
      <x:c r="B35" t="n">
        <x:v>364</x:v>
      </x:c>
      <x:c r="C35" t="n">
        <x:v>12</x:v>
      </x:c>
      <x:c r="D35" t="n">
        <x:v>12</x:v>
      </x:c>
      <x:c r="E35" s="44" t="n">
        <x:v>3828.6</x:v>
      </x:c>
      <x:c r="F35" t="n">
        <x:v>12</x:v>
      </x:c>
    </x:row>
    <x:row r="36">
      <x:c r="A36" t="n">
        <x:v>2000</x:v>
      </x:c>
      <x:c r="B36" t="n">
        <x:v>365</x:v>
      </x:c>
      <x:c r="C36" t="n">
        <x:v>12</x:v>
      </x:c>
      <x:c r="D36" t="n">
        <x:v>12</x:v>
      </x:c>
      <x:c r="E36" s="44" t="n">
        <x:v>2912</x:v>
      </x:c>
      <x:c r="F36" t="n">
        <x:v>12</x:v>
      </x:c>
    </x:row>
    <x:row r="37">
      <x:c r="A37" t="n">
        <x:v>2001</x:v>
      </x:c>
      <x:c r="B37" t="n">
        <x:v>363</x:v>
      </x:c>
      <x:c r="C37" t="n">
        <x:v>12</x:v>
      </x:c>
      <x:c r="D37" t="n">
        <x:v>12</x:v>
      </x:c>
      <x:c r="E37" s="44" t="n">
        <x:v>1883.4</x:v>
      </x:c>
      <x:c r="F37" t="n">
        <x:v>12</x:v>
      </x:c>
    </x:row>
    <x:row r="38">
      <x:c r="A38" t="n">
        <x:v>2002</x:v>
      </x:c>
      <x:c r="B38" t="n">
        <x:v>363</x:v>
      </x:c>
      <x:c r="C38" t="n">
        <x:v>12</x:v>
      </x:c>
      <x:c r="D38" t="n">
        <x:v>12</x:v>
      </x:c>
      <x:c r="E38" s="44" t="n">
        <x:v>3431.8</x:v>
      </x:c>
      <x:c r="F38" t="n">
        <x:v>12</x:v>
      </x:c>
    </x:row>
    <x:row r="39">
      <x:c r="A39" t="n">
        <x:v>2003</x:v>
      </x:c>
      <x:c r="B39" t="n">
        <x:v>351</x:v>
      </x:c>
      <x:c r="C39" t="n">
        <x:v>12</x:v>
      </x:c>
      <x:c r="D39" t="n">
        <x:v>11</x:v>
      </x:c>
      <x:c r="E39" s="44" t="n">
        <x:v>3169.1</x:v>
      </x:c>
      <x:c r="F39" t="n">
        <x:v>11</x:v>
      </x:c>
    </x:row>
    <x:row r="40">
      <x:c r="A40" t="n">
        <x:v>2004</x:v>
      </x:c>
      <x:c r="B40" t="n">
        <x:v>358</x:v>
      </x:c>
      <x:c r="C40" t="n">
        <x:v>12</x:v>
      </x:c>
      <x:c r="D40" t="n">
        <x:v>11</x:v>
      </x:c>
      <x:c r="E40" s="44" t="n">
        <x:v>2153.8</x:v>
      </x:c>
      <x:c r="F40" t="n">
        <x:v>11</x:v>
      </x:c>
    </x:row>
    <x:row r="41">
      <x:c r="A41" t="n">
        <x:v>2005</x:v>
      </x:c>
      <x:c r="B41" t="n">
        <x:v>365</x:v>
      </x:c>
      <x:c r="C41" t="n">
        <x:v>12</x:v>
      </x:c>
      <x:c r="D41" t="n">
        <x:v>12</x:v>
      </x:c>
      <x:c r="E41" s="44" t="n">
        <x:v>2124.8</x:v>
      </x:c>
      <x:c r="F41" t="n">
        <x:v>12</x:v>
      </x:c>
    </x:row>
    <x:row r="42">
      <x:c r="A42" t="n">
        <x:v>2006</x:v>
      </x:c>
      <x:c r="B42" t="n">
        <x:v>303</x:v>
      </x:c>
      <x:c r="C42" t="n">
        <x:v>10</x:v>
      </x:c>
      <x:c r="D42" t="n">
        <x:v>10</x:v>
      </x:c>
      <x:c r="E42" s="44" t="n">
        <x:v>2073</x:v>
      </x:c>
      <x:c r="F42" t="n">
        <x:v>10</x:v>
      </x:c>
    </x:row>
    <x:row r="43">
      <x:c r="A43" t="n">
        <x:v>2007</x:v>
      </x:c>
      <x:c r="B43" t="n">
        <x:v>360</x:v>
      </x:c>
      <x:c r="C43" t="n">
        <x:v>12</x:v>
      </x:c>
      <x:c r="D43" t="n">
        <x:v>11</x:v>
      </x:c>
      <x:c r="E43" s="44" t="n">
        <x:v>2898.7</x:v>
      </x:c>
      <x:c r="F43" t="n">
        <x:v>11</x:v>
      </x:c>
    </x:row>
    <x:row r="44">
      <x:c r="A44" t="n">
        <x:v>2008</x:v>
      </x:c>
      <x:c r="B44" t="n">
        <x:v>242</x:v>
      </x:c>
      <x:c r="C44" t="n">
        <x:v>8</x:v>
      </x:c>
      <x:c r="D44" t="n">
        <x:v>8</x:v>
      </x:c>
      <x:c r="E44" s="44" t="n">
        <x:v>1662.1</x:v>
      </x:c>
      <x:c r="F44" t="n">
        <x:v>8</x:v>
      </x:c>
    </x:row>
    <x:row r="45">
      <x:c r="A45" t="n">
        <x:v>2009</x:v>
      </x:c>
      <x:c r="B45" t="n">
        <x:v>332</x:v>
      </x:c>
      <x:c r="C45" t="n">
        <x:v>11</x:v>
      </x:c>
      <x:c r="D45" t="n">
        <x:v>11</x:v>
      </x:c>
      <x:c r="E45" s="44" t="n">
        <x:v>1499.8</x:v>
      </x:c>
      <x:c r="F45" t="n">
        <x:v>11</x:v>
      </x:c>
    </x:row>
    <x:row r="46">
      <x:c r="A46" t="n">
        <x:v>2010</x:v>
      </x:c>
      <x:c r="B46" t="n">
        <x:v>365</x:v>
      </x:c>
      <x:c r="C46" t="n">
        <x:v>12</x:v>
      </x:c>
      <x:c r="D46" t="n">
        <x:v>12</x:v>
      </x:c>
      <x:c r="E46" s="44" t="n">
        <x:v>3629.8</x:v>
      </x:c>
      <x:c r="F46" t="n">
        <x:v>12</x:v>
      </x:c>
    </x:row>
    <x:row r="47">
      <x:c r="A47" t="n">
        <x:v>2011</x:v>
      </x:c>
      <x:c r="B47" t="n">
        <x:v>365</x:v>
      </x:c>
      <x:c r="C47" t="n">
        <x:v>12</x:v>
      </x:c>
      <x:c r="D47" t="n">
        <x:v>12</x:v>
      </x:c>
      <x:c r="E47" s="44" t="n">
        <x:v>2084</x:v>
      </x:c>
      <x:c r="F47" t="n">
        <x:v>12</x:v>
      </x:c>
    </x:row>
    <x:row r="48">
      <x:c r="A48" t="n">
        <x:v>2012</x:v>
      </x:c>
      <x:c r="B48" t="n">
        <x:v>366</x:v>
      </x:c>
      <x:c r="C48" t="n">
        <x:v>12</x:v>
      </x:c>
      <x:c r="D48" t="n">
        <x:v>12</x:v>
      </x:c>
      <x:c r="E48" s="44" t="n">
        <x:v>3067.5</x:v>
      </x:c>
      <x:c r="F48" t="n">
        <x:v>12</x:v>
      </x:c>
    </x:row>
    <x:row r="49">
      <x:c r="A49" t="n">
        <x:v>2013</x:v>
      </x:c>
      <x:c r="B49" t="n">
        <x:v>365</x:v>
      </x:c>
      <x:c r="C49" t="n">
        <x:v>12</x:v>
      </x:c>
      <x:c r="D49" t="n">
        <x:v>12</x:v>
      </x:c>
      <x:c r="E49" s="44" t="n">
        <x:v>2664.6</x:v>
      </x:c>
      <x:c r="F49" t="n">
        <x:v>12</x:v>
      </x:c>
    </x:row>
    <x:row r="50">
      <x:c r="A50" t="n">
        <x:v>2014</x:v>
      </x:c>
      <x:c r="B50" t="n">
        <x:v>365</x:v>
      </x:c>
      <x:c r="C50" t="n">
        <x:v>12</x:v>
      </x:c>
      <x:c r="D50" t="n">
        <x:v>12</x:v>
      </x:c>
      <x:c r="E50" s="44" t="n">
        <x:v>3615</x:v>
      </x:c>
      <x:c r="F50" t="n">
        <x:v>12</x:v>
      </x:c>
    </x:row>
    <x:row r="51">
      <x:c r="A51" t="n">
        <x:v>2015</x:v>
      </x:c>
      <x:c r="B51" t="n">
        <x:v>364</x:v>
      </x:c>
      <x:c r="C51" t="n">
        <x:v>12</x:v>
      </x:c>
      <x:c r="D51" t="n">
        <x:v>12</x:v>
      </x:c>
      <x:c r="E51" s="44" t="n">
        <x:v>3608</x:v>
      </x:c>
      <x:c r="F51" t="n">
        <x:v>12</x:v>
      </x:c>
    </x:row>
    <x:row r="52">
      <x:c r="A52" t="n">
        <x:v>2016</x:v>
      </x:c>
      <x:c r="B52" t="n">
        <x:v>366</x:v>
      </x:c>
      <x:c r="C52" t="n">
        <x:v>12</x:v>
      </x:c>
      <x:c r="D52" t="n">
        <x:v>12</x:v>
      </x:c>
      <x:c r="E52" s="44" t="n">
        <x:v>4473.5</x:v>
      </x:c>
      <x:c r="F52" t="n">
        <x:v>10</x:v>
      </x:c>
    </x:row>
    <x:row r="53">
      <x:c r="A53" t="n">
        <x:v>2017</x:v>
      </x:c>
      <x:c r="B53" t="n">
        <x:v>365</x:v>
      </x:c>
      <x:c r="C53" t="n">
        <x:v>12</x:v>
      </x:c>
      <x:c r="D53" t="n">
        <x:v>12</x:v>
      </x:c>
      <x:c r="E53" s="44" t="n">
        <x:v>3188.9</x:v>
      </x:c>
      <x:c r="F53" t="n">
        <x:v>12</x:v>
      </x:c>
    </x:row>
    <x:row r="54">
      <x:c r="A54" t="n">
        <x:v>2018</x:v>
      </x:c>
      <x:c r="B54" t="n">
        <x:v>365</x:v>
      </x:c>
      <x:c r="C54" t="n">
        <x:v>12</x:v>
      </x:c>
      <x:c r="D54" t="n">
        <x:v>12</x:v>
      </x:c>
      <x:c r="E54" s="44" t="n">
        <x:v>2738.4</x:v>
      </x:c>
      <x:c r="F54" t="n">
        <x:v>12</x:v>
      </x:c>
    </x:row>
    <x:row r="55">
      <x:c r="A55" t="n">
        <x:v>2019</x:v>
      </x:c>
      <x:c r="B55" t="n">
        <x:v>365</x:v>
      </x:c>
      <x:c r="C55" t="n">
        <x:v>12</x:v>
      </x:c>
      <x:c r="D55" t="n">
        <x:v>12</x:v>
      </x:c>
      <x:c r="E55" s="44" t="n">
        <x:v>3100.5</x:v>
      </x:c>
      <x:c r="F55" t="n">
        <x:v>9</x:v>
      </x:c>
    </x:row>
    <x:row r="56">
      <x:c r="A56" t="n">
        <x:v>2020</x:v>
      </x:c>
      <x:c r="B56" t="n">
        <x:v>366</x:v>
      </x:c>
      <x:c r="C56" t="n">
        <x:v>12</x:v>
      </x:c>
      <x:c r="D56" t="n">
        <x:v>12</x:v>
      </x:c>
      <x:c r="E56" s="44" t="n">
        <x:v>2913.2</x:v>
      </x:c>
      <x:c r="F56" t="n">
        <x:v>12</x:v>
      </x:c>
    </x:row>
    <x:row r="57">
      <x:c r="A57" t="n">
        <x:v>2021</x:v>
      </x:c>
      <x:c r="B57" t="n">
        <x:v>364</x:v>
      </x:c>
      <x:c r="C57" t="n">
        <x:v>12</x:v>
      </x:c>
      <x:c r="D57" t="n">
        <x:v>12</x:v>
      </x:c>
      <x:c r="E57" s="44" t="n">
        <x:v>3265.6</x:v>
      </x:c>
      <x:c r="F57" t="n">
        <x:v>12</x:v>
      </x:c>
    </x:row>
    <x:row r="58">
      <x:c r="A58" t="n">
        <x:v>2022</x:v>
      </x:c>
      <x:c r="B58" t="n">
        <x:v>365</x:v>
      </x:c>
      <x:c r="C58" t="n">
        <x:v>12</x:v>
      </x:c>
      <x:c r="D58" t="n">
        <x:v>12</x:v>
      </x:c>
      <x:c r="E58" s="44" t="n">
        <x:v>3247</x:v>
      </x:c>
      <x:c r="F58" t="n">
        <x:v>12</x:v>
      </x:c>
    </x:row>
    <x:row r="59">
      <x:c r="A59" t="n">
        <x:v>2023</x:v>
      </x:c>
      <x:c r="B59" t="n">
        <x:v>365</x:v>
      </x:c>
      <x:c r="C59" t="n">
        <x:v>12</x:v>
      </x:c>
      <x:c r="D59" t="n">
        <x:v>12</x:v>
      </x:c>
      <x:c r="E59" s="44" t="n">
        <x:v>4278.1</x:v>
      </x:c>
      <x:c r="F59" t="n">
        <x:v>11</x:v>
      </x:c>
    </x:row>
    <x:row r="60">
      <x:c r="A60" t="n">
        <x:v>2024</x:v>
      </x:c>
      <x:c r="B60" t="n">
        <x:v>366</x:v>
      </x:c>
      <x:c r="C60" t="n">
        <x:v>12</x:v>
      </x:c>
      <x:c r="D60" t="n">
        <x:v>12</x:v>
      </x:c>
      <x:c r="E60" s="44" t="n">
        <x:v>3054.4</x:v>
      </x:c>
      <x:c r="F60" t="n">
        <x:v>12</x:v>
      </x:c>
    </x:row>
    <x:row r="61">
      <x:c r="A61" t="n">
        <x:v>2025</x:v>
      </x:c>
      <x:c r="B61" t="n">
        <x:v>364</x:v>
      </x:c>
      <x:c r="C61" t="n">
        <x:v>12</x:v>
      </x:c>
      <x:c r="D61" t="n">
        <x:v>12</x:v>
      </x:c>
      <x:c r="E61" s="44" t="n">
        <x:v>3593.7</x:v>
      </x:c>
      <x:c r="F61" t="n">
        <x:v>7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7" hidden="0" customWidth="1"/>
    <x:col min="2" max="2" width="18" hidden="0" customWidth="1"/>
    <x:col min="3" max="3" width="20" hidden="0" customWidth="1"/>
    <x:col min="4" max="4" width="20" hidden="0" customWidth="1"/>
    <x:col min="5" max="5" width="39" hidden="0" customWidth="1"/>
  </x:cols>
  <x:sheetData>
    <x:row r="1" ht="22" customHeight="1">
      <x:c r="A1" s="4" t="str">
        <x:v>Trazabilidad · archivos, controles y limitaciones</x:v>
      </x:c>
      <x:c r="B1" s="4"/>
      <x:c r="C1" s="4"/>
      <x:c r="D1" s="4"/>
      <x:c r="E1" s="4"/>
    </x:row>
    <x:row r="2" ht="22" customHeight="1">
      <x:c r="A2" s="4"/>
      <x:c r="B2" s="4"/>
      <x:c r="C2" s="4"/>
      <x:c r="D2" s="4"/>
      <x:c r="E2" s="4"/>
    </x:row>
    <x:row r="3" ht="7" customHeight="1">
      <x:c r="A3" s="8"/>
      <x:c r="B3" s="8"/>
      <x:c r="C3" s="8"/>
      <x:c r="D3" s="8"/>
      <x:c r="E3" s="8"/>
    </x:row>
    <x:row r="5" ht="30" customHeight="1">
      <x:c r="A5" s="15" t="str">
        <x:v>Origen DHIME</x:v>
      </x:c>
      <x:c r="B5" s="15" t="str">
        <x:v>Días aceptados</x:v>
      </x:c>
      <x:c r="C5" s="15" t="str">
        <x:v>Desde</x:v>
      </x:c>
      <x:c r="D5" s="15" t="str">
        <x:v>Hasta</x:v>
      </x:c>
      <x:c r="E5" s="15" t="str">
        <x:v>Estado de aprobación</x:v>
      </x:c>
    </x:row>
    <x:row r="6" ht="45" customHeight="1">
      <x:c r="A6" s="50" t="str">
        <x:v>Reporte de información Hidrometeorológica de DHIME generado tumaco 2.zip</x:v>
      </x:c>
      <x:c r="B6" s="50" t="n">
        <x:v>8981</x:v>
      </x:c>
      <x:c r="C6" s="50" t="str">
        <x:v>1970-01-01</x:v>
      </x:c>
      <x:c r="D6" s="50" t="str">
        <x:v>1995-01-01</x:v>
      </x:c>
      <x:c r="E6" s="50" t="str">
        <x:v>Preliminar: 8981</x:v>
      </x:c>
    </x:row>
    <x:row r="7" ht="45" customHeight="1">
      <x:c r="A7" s="50" t="str">
        <x:v>Reporte de información Hidrometeorológica de DHIME generado tumaco 3.zip</x:v>
      </x:c>
      <x:c r="B7" s="50" t="n">
        <x:v>4230</x:v>
      </x:c>
      <x:c r="C7" s="50" t="str">
        <x:v>1990-01-01</x:v>
      </x:c>
      <x:c r="D7" s="50" t="str">
        <x:v>2002-01-01</x:v>
      </x:c>
      <x:c r="E7" s="50" t="str">
        <x:v>Preliminar: 4230</x:v>
      </x:c>
    </x:row>
    <x:row r="8" ht="45" customHeight="1">
      <x:c r="A8" s="50" t="str">
        <x:v>Reporte de información Hidrometeorológica de DHIME generado tumaco 1.zip</x:v>
      </x:c>
      <x:c r="B8" s="50" t="n">
        <x:v>9243</x:v>
      </x:c>
      <x:c r="C8" s="50" t="str">
        <x:v>2000-01-01</x:v>
      </x:c>
      <x:c r="D8" s="50" t="str">
        <x:v>2025-12-31</x:v>
      </x:c>
      <x:c r="E8" s="50" t="str">
        <x:v>Preliminar: 6598, En revisión: 2645</x:v>
      </x:c>
    </x:row>
    <x:row r="11" ht="26" customHeight="1">
      <x:c r="A11" s="11" t="str">
        <x:v>Consideraciones metodológicas y tareas pendientes</x:v>
      </x:c>
      <x:c r="B11" s="11"/>
      <x:c r="C11" s="11"/>
      <x:c r="D11" s="11"/>
      <x:c r="E11" s="11"/>
    </x:row>
    <x:row r="13" ht="34" customHeight="1">
      <x:c r="A13" s="40" t="str">
        <x:v>NO se imputaron días ausentes ni se interpretaron como cero. Los ceros registrados sí se conservaron como ausencia de lluvia.</x:v>
      </x:c>
      <x:c r="B13" s="40"/>
      <x:c r="C13" s="40"/>
      <x:c r="D13" s="40"/>
      <x:c r="E13" s="40"/>
    </x:row>
    <x:row r="14" ht="34" customHeight="1">
      <x:c r="A14" s="42" t="str">
        <x:v>Solapamientos (2.431 filas) cotejados: todos los valores diarios repetidos coinciden entre las tres descargas.</x:v>
      </x:c>
      <x:c r="B14" s="42"/>
      <x:c r="C14" s="42"/>
      <x:c r="D14" s="42"/>
      <x:c r="E14" s="42"/>
    </x:row>
    <x:row r="15" ht="34" customHeight="1">
      <x:c r="A15" s="40" t="str">
        <x:v>Identificador DHIME reporta 51025090 «GRANJA EL MIRA - AUT» y registros desde 1970; confirmar continuidad de instrumentación e identidad histórica.</x:v>
      </x:c>
      <x:c r="B15" s="40"/>
      <x:c r="C15" s="40"/>
      <x:c r="D15" s="40"/>
      <x:c r="E15" s="40"/>
    </x:row>
    <x:row r="16" ht="34" customHeight="1">
      <x:c r="A16" s="42" t="str">
        <x:v>La referencia no tiene registros en estado «Definitivo» en estas descargas; algunos figuran «En revisión».</x:v>
      </x:c>
      <x:c r="B16" s="42"/>
      <x:c r="C16" s="42"/>
      <x:c r="D16" s="42"/>
      <x:c r="E16" s="42"/>
    </x:row>
    <x:row r="17" ht="34" customHeight="1">
      <x:c r="A17" s="40" t="str">
        <x:v>Se requieren metadatos de relocalizaciones, tecnología, pluviómetro, observador, horarios y cambios de serie de ambas estaciones.</x:v>
      </x:c>
      <x:c r="B17" s="40"/>
      <x:c r="C17" s="40"/>
      <x:c r="D17" s="40"/>
      <x:c r="E17" s="40"/>
    </x:row>
    <x:row r="18" ht="34" customHeight="1">
      <x:c r="A18" s="42" t="str">
        <x:v>Agregar estación independiente con cobertura 1990–2005 para resolver si el cambio relativo de 1994 o 1997 pertenece a COCO, Granja o ambos.</x:v>
      </x:c>
      <x:c r="B18" s="42"/>
      <x:c r="C18" s="42"/>
      <x:c r="D18" s="42"/>
      <x:c r="E18" s="42"/>
    </x:row>
    <x:row r="19" ht="34" customHeight="1">
      <x:c r="A19" s="40" t="str">
        <x:v>Fuente de catálogo: https://www.ideam.gov.co/transparencia/datos-abiertos/seccion-de-datos-abiertos/catalogo-nacional-de-estaciones-del-ideam</x:v>
      </x:c>
      <x:c r="B19" s="40"/>
      <x:c r="C19" s="40"/>
      <x:c r="D19" s="40"/>
      <x:c r="E19" s="40"/>
    </x:row>
    <x:row r="20" ht="34" customHeight="1">
      <x:c r="A20" s="42" t="str">
        <x:v>Fuente de descargas: https://ideam.gov.co/dhime</x:v>
      </x:c>
      <x:c r="B20" s="42"/>
      <x:c r="C20" s="42"/>
      <x:c r="D20" s="42"/>
      <x:c r="E20" s="42"/>
    </x:row>
    <x:row r="21" ht="34" customHeight="1">
      <x:c r="A21" s="40" t="str">
        <x:v>Validación A1: comparación real entre estaciones COMPLETA en procesamiento; certificación de homogeneidad instrumental PENDIENTE.</x:v>
      </x:c>
      <x:c r="B21" s="40"/>
      <x:c r="C21" s="40"/>
      <x:c r="D21" s="40"/>
      <x:c r="E21" s="40"/>
    </x:row>
    <x:row r="22" ht="34" customHeight="1">
      <x:c r="A22" s="42" t="str">
        <x:v>Los resultados de esta pestaña complementan el Excel anterior SIAMS_A1_SNHT_Homogeneidad_Actualizado.xlsx.</x:v>
      </x:c>
      <x:c r="B22" s="42"/>
      <x:c r="C22" s="42"/>
      <x:c r="D22" s="42"/>
      <x:c r="E22" s="42"/>
    </x:row>
  </x:sheetData>
  <x:mergeCells>
    <x:mergeCell ref="A1:E2"/>
    <x:mergeCell ref="A11:E11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  <x:mergeCell ref="A22:E22"/>
  </x:mergeCells>
  <x:pageMargins left="0.7" right="0.7" top="0.75" bottom="0.75" header="0.3" footer="0.3"/>
</x:worksheet>
</file>