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18efd035d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_A1" sheetId="1" r:id="R04fec94095c84ad4"/>
    <x:sheet xmlns:r="http://schemas.openxmlformats.org/officeDocument/2006/relationships" name="SNHT_absoluto" sheetId="2" r:id="R6074802589194b51"/>
    <x:sheet xmlns:r="http://schemas.openxmlformats.org/officeDocument/2006/relationships" name="Contraste_Tumaco" sheetId="3" r:id="R66ffe6523f1f4fed"/>
    <x:sheet xmlns:r="http://schemas.openxmlformats.org/officeDocument/2006/relationships" name="Estaciones_Arauca" sheetId="4" r:id="Rb9e8ca0a079e4251"/>
    <x:sheet xmlns:r="http://schemas.openxmlformats.org/officeDocument/2006/relationships" name="Tumaco_P_diagnostico" sheetId="5" r:id="Rc81dd6f905654975"/>
    <x:sheet xmlns:r="http://schemas.openxmlformats.org/officeDocument/2006/relationships" name="Calidad_P_Tumaco" sheetId="6" r:id="Rb706396111524b24"/>
    <x:sheet xmlns:r="http://schemas.openxmlformats.org/officeDocument/2006/relationships" name="Control_A1" sheetId="7" r:id="Rfb1a11b442494b27"/>
    <x:sheet xmlns:r="http://schemas.openxmlformats.org/officeDocument/2006/relationships" name="Metodologia" sheetId="8" r:id="Re7e443eb10594cfb"/>
    <x:sheet xmlns:r="http://schemas.openxmlformats.org/officeDocument/2006/relationships" name="Contraste_IDEAM_2026" sheetId="9" r:id="Rd95ad37f8f7845e7"/>
    <x:sheet xmlns:r="http://schemas.openxmlformats.org/officeDocument/2006/relationships" name="Ubicacion_IDEAM_Tumaco" sheetId="10" r:id="R6e5de8a238f34cd8"/>
    <x:sheet xmlns:r="http://schemas.openxmlformats.org/officeDocument/2006/relationships" name="Pares_Granja_Mira" sheetId="11" r:id="Rc900701b3c5c422d"/>
    <x:sheet xmlns:r="http://schemas.openxmlformats.org/officeDocument/2006/relationships" name="Pares_La_Florida" sheetId="12" r:id="Rcf896a402f7746ca"/>
    <x:sheet xmlns:r="http://schemas.openxmlformats.org/officeDocument/2006/relationships" name="Notas_Validacion_IDEAM" sheetId="13" r:id="Rf19ca81b032d41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"/>
    <x:numFmt numFmtId="201" formatCode="0.00000"/>
    <x:numFmt numFmtId="202" formatCode="0"/>
    <x:numFmt numFmtId="203" formatCode="0.00"/>
    <x:numFmt numFmtId="204" formatCode="0.0000"/>
    <x:numFmt numFmtId="205" formatCode="0.0"/>
    <x:numFmt numFmtId="206" formatCode="0.0%"/>
  </x:numFmts>
  <x:fonts count="21">
    <x:font>
      <x:sz val="11"/>
      <x:name val="Carlito"/>
    </x:font>
    <x:font>
      <x:b/>
      <x:sz val="19"/>
      <x:color rgb="FFFFFFFF"/>
      <x:name val="Aptos Display"/>
    </x:font>
    <x:font>
      <x:sz val="11"/>
      <x:color rgb="FF253958"/>
      <x:name val="Aptos"/>
    </x:font>
    <x:font>
      <x:b/>
      <x:sz val="10"/>
      <x:color rgb="FFFFFFFF"/>
      <x:name val="Carlito"/>
    </x:font>
    <x:font>
      <x:b/>
      <x:sz val="24"/>
      <x:color rgb="FF0D877E"/>
      <x:name val="Carlito"/>
    </x:font>
    <x:font>
      <x:b/>
      <x:sz val="12"/>
      <x:color rgb="FF8B520E"/>
      <x:name val="Carlito"/>
    </x:font>
    <x:font>
      <x:b/>
      <x:sz val="11"/>
      <x:color rgb="FFFFFFFF"/>
      <x:name val="Carlito"/>
    </x:font>
    <x:font>
      <x:sz val="11"/>
      <x:color rgb="FF253958"/>
      <x:name val="Carlito"/>
    </x:font>
    <x:font>
      <x:b/>
      <x:sz val="11"/>
      <x:color rgb="FF0D877E"/>
      <x:name val="Carlito"/>
    </x:font>
    <x:font>
      <x:sz val="11"/>
      <x:color rgb="FF8B520E"/>
      <x:name val="Carlito"/>
    </x:font>
    <x:font>
      <x:b/>
      <x:sz val="11"/>
      <x:color rgb="FF16243A"/>
      <x:name val="Carlito"/>
    </x:font>
    <x:font>
      <x:b/>
      <x:sz val="11"/>
      <x:color rgb="FF253958"/>
      <x:name val="Carlito"/>
    </x:font>
    <x:font>
      <x:sz val="10"/>
      <x:color rgb="FF253958"/>
      <x:name val="Carlito"/>
    </x:font>
    <x:font>
      <x:b/>
      <x:sz val="16"/>
      <x:color rgb="FFFFFFFF"/>
      <x:name val="Calibri"/>
    </x:font>
    <x:font>
      <x:b/>
      <x:sz val="11"/>
      <x:color rgb="FF955000"/>
      <x:name val="Calibri"/>
    </x:font>
    <x:font>
      <x:b/>
      <x:sz val="11"/>
      <x:color rgb="FFFFFFFF"/>
      <x:name val="Calibri"/>
    </x:font>
    <x:font>
      <x:sz val="11"/>
      <x:color rgb="FF243747"/>
      <x:name val="Calibri"/>
    </x:font>
    <x:font>
      <x:sz val="10"/>
      <x:color rgb="FF243747"/>
      <x:name val="Calibri"/>
    </x:font>
    <x:font>
      <x:sz val="10"/>
      <x:color rgb="FF955000"/>
      <x:name val="Calibri"/>
    </x:font>
    <x:font>
      <x:sz val="11"/>
      <x:name val="Calibri"/>
    </x:font>
    <x:font>
      <x:sz val="10"/>
      <x:color rgb="FF64748B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6243A"/>
      </x:patternFill>
    </x:fill>
    <x:fill>
      <x:patternFill patternType="solid">
        <x:fgColor rgb="FFEBF5F6"/>
      </x:patternFill>
    </x:fill>
    <x:fill>
      <x:patternFill patternType="solid">
        <x:fgColor rgb="FF253958"/>
      </x:patternFill>
    </x:fill>
    <x:fill>
      <x:patternFill patternType="solid">
        <x:fgColor rgb="FFFFF3E0"/>
      </x:patternFill>
    </x:fill>
    <x:fill>
      <x:patternFill patternType="solid">
        <x:fgColor rgb="FFF6F9FC"/>
      </x:patternFill>
    </x:fill>
    <x:fill>
      <x:patternFill patternType="solid">
        <x:fgColor rgb="FFE2F6EE"/>
      </x:patternFill>
    </x:fill>
    <x:fill>
      <x:patternFill patternType="solid">
        <x:fgColor rgb="FFFFFFFF"/>
      </x:patternFill>
    </x:fill>
    <x:fill>
      <x:patternFill patternType="solid">
        <x:fgColor rgb="FF16324F"/>
      </x:patternFill>
    </x:fill>
    <x:fill>
      <x:patternFill patternType="solid">
        <x:fgColor rgb="FFFFF6E9"/>
      </x:patternFill>
    </x:fill>
    <x:fill>
      <x:patternFill patternType="solid">
        <x:fgColor rgb="FFF5FAFB"/>
      </x:patternFill>
    </x:fill>
    <x:fill>
      <x:patternFill patternType="solid">
        <x:fgColor rgb="FF087F8C"/>
      </x:patternFill>
    </x:fill>
    <x:fill>
      <x:patternFill patternType="solid">
        <x:fgColor rgb="FFEAF3F5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wrapText="0"/>
    </x:xf>
    <x:xf numFmtId="0" fontId="0" fillId="4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0"/>
    </x:xf>
    <x:xf numFmtId="0" fontId="4" fillId="3" borderId="0" xfId="0" applyNumberFormat="1" applyFont="1" applyFill="1" applyBorder="1" applyAlignment="1">
      <x:alignment wrapText="0"/>
    </x:xf>
    <x:xf numFmtId="0" fontId="4" fillId="3" borderId="0" xfId="0" applyNumberFormat="1" applyFont="1" applyFill="1" applyBorder="1" applyAlignment="1">
      <x:alignment horizontal="center" wrapText="0"/>
    </x:xf>
    <x:xf numFmtId="0" fontId="4" fillId="3" borderId="0" xfId="0" applyNumberFormat="1" applyFont="1" applyFill="1" applyBorder="1" applyAlignment="1">
      <x:alignment horizontal="center" vertical="center" wrapText="0"/>
    </x:xf>
    <x:xf numFmtId="0" fontId="0" fillId="3" borderId="1" xfId="0" applyNumberFormat="1" applyFont="1" applyFill="1" applyBorder="1" applyAlignment="1">
      <x:alignment wrapText="0"/>
    </x:xf>
    <x:xf numFmtId="0" fontId="4" fillId="3" borderId="1" xfId="0" applyNumberFormat="1" applyFont="1" applyFill="1" applyBorder="1" applyAlignment="1">
      <x:alignment wrapText="0"/>
    </x:xf>
    <x:xf numFmtId="0" fontId="4" fillId="3" borderId="1" xfId="0" applyNumberFormat="1" applyFont="1" applyFill="1" applyBorder="1" applyAlignment="1">
      <x:alignment horizontal="center" wrapText="0"/>
    </x:xf>
    <x:xf numFmtId="0" fontId="4" fillId="3" borderId="1" xfId="0" applyNumberFormat="1" applyFont="1" applyFill="1" applyBorder="1" applyAlignment="1">
      <x:alignment horizontal="center" vertical="center" wrapText="0"/>
    </x:xf>
    <x:xf numFmtId="0" fontId="0" fillId="5" borderId="0" xfId="0" applyNumberFormat="1" applyFont="1" applyFill="1" applyBorder="1" applyAlignment="1">
      <x:alignment wrapText="0"/>
    </x:xf>
    <x:xf numFmtId="0" fontId="5" fillId="5" borderId="0" xfId="0" applyNumberFormat="1" applyFont="1" applyFill="1" applyBorder="1" applyAlignment="1">
      <x:alignment wrapText="0"/>
    </x:xf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wrapText="0"/>
    </x:xf>
    <x:xf numFmtId="0" fontId="5" fillId="5" borderId="1" xfId="0" applyNumberFormat="1" applyFont="1" applyFill="1" applyBorder="1" applyAlignment="1">
      <x:alignment wrapText="0"/>
    </x:xf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wrapText="0"/>
    </x:xf>
    <x:xf numFmtId="0" fontId="6" fillId="4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0"/>
    </x:xf>
    <x:xf numFmtId="0" fontId="0" fillId="6" borderId="1" xfId="0" applyNumberFormat="1" applyFont="1" applyFill="1" applyBorder="1" applyAlignment="1">
      <x:alignment wrapText="0"/>
    </x:xf>
    <x:xf numFmtId="0" fontId="7" fillId="3" borderId="0" xfId="0" applyNumberFormat="1" applyFont="1" applyFill="1" applyBorder="1" applyAlignment="1">
      <x:alignment wrapText="0"/>
    </x:xf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0"/>
    </x:xf>
    <x:xf numFmtId="0" fontId="7" fillId="3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0"/>
    </x:xf>
    <x:xf numFmtId="0" fontId="8" fillId="0" borderId="1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0"/>
    </x:xf>
    <x:xf numFmtId="0" fontId="9" fillId="5" borderId="0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0"/>
    </x:xf>
    <x:xf numFmtId="0" fontId="9" fillId="5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0"/>
    </x:xf>
    <x:xf numFmtId="205" fontId="0" fillId="0" borderId="1" xfId="0" applyNumberFormat="1" applyFont="1" applyFill="1" applyBorder="1" applyAlignment="1">
      <x:alignment wrapText="0"/>
    </x:xf>
    <x:xf numFmtId="204" fontId="0" fillId="0" borderId="0" xfId="0" applyNumberFormat="1" applyFont="1" applyFill="1" applyBorder="1" applyAlignment="1">
      <x:alignment wrapText="0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 applyAlignment="1">
      <x:alignment wrapText="0"/>
    </x:xf>
    <x:xf numFmtId="204" fontId="0" fillId="0" borderId="1" xfId="0" applyNumberFormat="1" applyFont="1" applyFill="1" applyBorder="1"/>
    <x:xf numFmtId="206" fontId="0" fillId="0" borderId="0" xfId="0" applyNumberFormat="1" applyFont="1" applyFill="1" applyBorder="1" applyAlignment="1">
      <x:alignment wrapText="0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 applyAlignment="1">
      <x:alignment wrapText="0"/>
    </x:xf>
    <x:xf numFmtId="206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10" fillId="3" borderId="0" xfId="0" applyNumberFormat="1" applyFont="1" applyFill="1" applyBorder="1" applyAlignment="1">
      <x:alignment wrapText="0"/>
    </x:xf>
    <x:xf numFmtId="0" fontId="10" fillId="3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0"/>
    </x:xf>
    <x:xf numFmtId="0" fontId="10" fillId="3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0"/>
    </x:xf>
    <x:xf numFmtId="0" fontId="8" fillId="7" borderId="0" xfId="0" applyNumberFormat="1" applyFont="1" applyFill="1" applyBorder="1" applyAlignment="1">
      <x:alignment wrapText="0"/>
    </x:xf>
    <x:xf numFmtId="0" fontId="8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0"/>
    </x:xf>
    <x:xf numFmtId="0" fontId="8" fillId="7" borderId="1" xfId="0" applyNumberFormat="1" applyFont="1" applyFill="1" applyBorder="1" applyAlignment="1">
      <x:alignment wrapText="0"/>
    </x:xf>
    <x:xf numFmtId="0" fontId="8" fillId="7" borderId="1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0"/>
    </x:xf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1" xfId="0" applyNumberFormat="1" applyFont="1" applyFill="1" applyBorder="1" applyAlignment="1">
      <x:alignment wrapText="0"/>
    </x:xf>
    <x:xf numFmtId="0" fontId="11" fillId="3" borderId="1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wrapText="0"/>
    </x:xf>
    <x:xf numFmtId="0" fontId="12" fillId="6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1" xfId="0" applyNumberFormat="1" applyFont="1" applyFill="1" applyBorder="1" applyAlignment="1">
      <x:alignment wrapText="0"/>
    </x:xf>
    <x:xf numFmtId="0" fontId="12" fillId="6" borderId="1" xfId="0" applyNumberFormat="1" applyFont="1" applyFill="1" applyBorder="1" applyAlignment="1">
      <x:alignment wrapText="1"/>
    </x:xf>
    <x:xf numFmtId="0" fontId="12" fillId="6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wrapText="0"/>
    </x:xf>
    <x:xf numFmtId="0" fontId="12" fillId="8" borderId="0" xfId="0" applyNumberFormat="1" applyFont="1" applyFill="1" applyBorder="1" applyAlignment="1">
      <x:alignment wrapText="0"/>
    </x:xf>
    <x:xf numFmtId="0" fontId="12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wrapText="0"/>
    </x:xf>
    <x:xf numFmtId="0" fontId="12" fillId="8" borderId="1" xfId="0" applyNumberFormat="1" applyFont="1" applyFill="1" applyBorder="1" applyAlignment="1">
      <x:alignment wrapText="0"/>
    </x:xf>
    <x:xf numFmtId="0" fontId="12" fillId="8" borderId="1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wrapText="1"/>
    </x:xf>
    <x:xf numFmtId="0" fontId="15" fillId="9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6" fillId="11" borderId="0" xfId="0" applyNumberFormat="1" applyFont="1" applyFill="1" applyBorder="1"/>
    <x:xf numFmtId="0" fontId="16" fillId="11" borderId="0" xfId="0" applyNumberFormat="1" applyFont="1" applyFill="1" applyBorder="1" applyAlignment="1">
      <x:alignment wrapText="1"/>
    </x:xf>
    <x:xf numFmtId="0" fontId="16" fillId="11" borderId="0" xfId="0" applyNumberFormat="1" applyFont="1" applyFill="1" applyBorder="1" applyAlignment="1">
      <x:alignment vertical="center" wrapText="1"/>
    </x:xf>
    <x:xf numFmtId="203" fontId="16" fillId="11" borderId="0" xfId="0" applyNumberFormat="1" applyFont="1" applyFill="1" applyBorder="1" applyAlignment="1">
      <x:alignment vertical="center" wrapText="1"/>
    </x:xf>
    <x:xf numFmtId="200" fontId="16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5" fillId="12" borderId="0" xfId="0" applyNumberFormat="1" applyFont="1" applyFill="1" applyBorder="1"/>
    <x:xf numFmtId="0" fontId="0" fillId="13" borderId="0" xfId="0" applyNumberFormat="1" applyFont="1" applyFill="1" applyBorder="1"/>
    <x:xf numFmtId="0" fontId="17" fillId="13" borderId="0" xfId="0" applyNumberFormat="1" applyFont="1" applyFill="1" applyBorder="1"/>
    <x:xf numFmtId="0" fontId="17" fillId="13" borderId="0" xfId="0" applyNumberFormat="1" applyFont="1" applyFill="1" applyBorder="1" applyAlignment="1">
      <x:alignment wrapText="1"/>
    </x:xf>
    <x:xf numFmtId="0" fontId="17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wrapText="1"/>
    </x:xf>
    <x:xf numFmtId="0" fontId="17" fillId="14" borderId="0" xfId="0" applyNumberFormat="1" applyFont="1" applyFill="1" applyBorder="1" applyAlignment="1">
      <x:alignment vertical="center" wrapText="1"/>
    </x:xf>
    <x:xf numFmtId="0" fontId="18" fillId="10" borderId="0" xfId="0" applyNumberFormat="1" applyFont="1" applyFill="1" applyBorder="1"/>
    <x:xf numFmtId="0" fontId="18" fillId="10" borderId="0" xfId="0" applyNumberFormat="1" applyFont="1" applyFill="1" applyBorder="1" applyAlignment="1">
      <x:alignment wrapText="1"/>
    </x:xf>
    <x:xf numFmtId="204" fontId="17" fillId="13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/>
    <x:xf numFmtId="205" fontId="19" fillId="0" borderId="0" xfId="0" applyNumberFormat="1" applyFont="1" applyFill="1" applyBorder="1"/>
    <x:xf numFmtId="0" fontId="20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A63643"/>
      </x:font>
      <x:fill>
        <x:patternFill>
          <x:bgColor rgb="FFFDECEF"/>
        </x:patternFill>
      </x:fill>
    </x:dxf>
    <x:dxf>
      <x:font>
        <x:i/>
        <x:color rgb="FF526276"/>
      </x:font>
    </x:dxf>
    <x:dxf>
      <x:font>
        <x:b/>
        <x:color rgb="FFA63643"/>
      </x:font>
      <x:fill>
        <x:patternFill>
          <x:bgColor rgb="FFFDECEF"/>
        </x:patternFill>
      </x:fill>
    </x:dxf>
    <x:dxf>
      <x:font>
        <x:b/>
        <x:color rgb="FFA63643"/>
      </x:font>
      <x:fill>
        <x:patternFill>
          <x:bgColor rgb="FFFDECEF"/>
        </x:patternFill>
      </x:fill>
    </x:dxf>
    <x:dxf>
      <x:font>
        <x:b/>
        <x:color rgb="FF0D877E"/>
      </x:font>
      <x:fill>
        <x:patternFill>
          <x:bgColor rgb="FFE2F6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4774b2d324e71" /><Relationship Type="http://schemas.openxmlformats.org/officeDocument/2006/relationships/theme" Target="/xl/theme/theme1.xml" Id="R6e0e8739c6a2407d" /><Relationship Type="http://schemas.openxmlformats.org/officeDocument/2006/relationships/sharedStrings" Target="/xl/sharedStrings.xml" Id="R1674539d377442e5" /><Relationship Type="http://schemas.openxmlformats.org/officeDocument/2006/relationships/worksheet" Target="/xl/worksheets/sheet1.xml" Id="R04fec94095c84ad4" /><Relationship Type="http://schemas.openxmlformats.org/officeDocument/2006/relationships/worksheet" Target="/xl/worksheets/sheet2.xml" Id="R6074802589194b51" /><Relationship Type="http://schemas.openxmlformats.org/officeDocument/2006/relationships/worksheet" Target="/xl/worksheets/sheet3.xml" Id="R66ffe6523f1f4fed" /><Relationship Type="http://schemas.openxmlformats.org/officeDocument/2006/relationships/worksheet" Target="/xl/worksheets/sheet4.xml" Id="Rb9e8ca0a079e4251" /><Relationship Type="http://schemas.openxmlformats.org/officeDocument/2006/relationships/worksheet" Target="/xl/worksheets/sheet5.xml" Id="Rc81dd6f905654975" /><Relationship Type="http://schemas.openxmlformats.org/officeDocument/2006/relationships/worksheet" Target="/xl/worksheets/sheet6.xml" Id="Rb706396111524b24" /><Relationship Type="http://schemas.openxmlformats.org/officeDocument/2006/relationships/worksheet" Target="/xl/worksheets/sheet7.xml" Id="Rfb1a11b442494b27" /><Relationship Type="http://schemas.openxmlformats.org/officeDocument/2006/relationships/worksheet" Target="/xl/worksheets/sheet8.xml" Id="Re7e443eb10594cfb" /><Relationship Type="http://schemas.openxmlformats.org/officeDocument/2006/relationships/worksheet" Target="/xl/worksheets/sheet9.xml" Id="Rd95ad37f8f7845e7" /><Relationship Type="http://schemas.openxmlformats.org/officeDocument/2006/relationships/worksheet" Target="/xl/worksheets/sheet10.xml" Id="R6e5de8a238f34cd8" /><Relationship Type="http://schemas.openxmlformats.org/officeDocument/2006/relationships/worksheet" Target="/xl/worksheets/sheet11.xml" Id="Rc900701b3c5c422d" /><Relationship Type="http://schemas.openxmlformats.org/officeDocument/2006/relationships/worksheet" Target="/xl/worksheets/sheet12.xml" Id="Rcf896a402f7746ca" /><Relationship Type="http://schemas.openxmlformats.org/officeDocument/2006/relationships/worksheet" Target="/xl/worksheets/sheet13.xml" Id="Rf19ca81b032d41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ca8c32a1784b2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6caa5ded2b94671" /><Relationship Type="http://schemas.openxmlformats.org/officeDocument/2006/relationships/chart" Target="/xl/drawings/charts/chart3.xml" Id="Rf546ebb2c3cd433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770990679754c1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8d332a82e64546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Régimen promedio mensual · precipitación IDEAM Arauca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MATEZAMURO 37050040</c:v>
          </c:tx>
          <c:marker>
            <c:symbol val="none"/>
          </c:marker>
          <c:cat>
            <c:strRef>
              <c:f>'Estaciones_Arauca'!$A$12:$A$23</c:f>
              <c:strCache>
                <c:ptCount val="0"/>
              </c:strCache>
            </c:strRef>
          </c:cat>
          <c:val>
            <c:numRef>
              <c:f>'Estaciones_Arauca'!$B$12:$B$23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VILLANUEVA 37050050</c:v>
          </c:tx>
          <c:marker>
            <c:symbol val="none"/>
          </c:marker>
          <c:cat>
            <c:strRef>
              <c:f>'Estaciones_Arauca'!$A$12:$A$23</c:f>
              <c:strCache>
                <c:ptCount val="0"/>
              </c:strCache>
            </c:strRef>
          </c:cat>
          <c:val>
            <c:numRef>
              <c:f>'Estaciones_Arauca'!$C$12:$C$23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AEROPUERTO 37055010</c:v>
          </c:tx>
          <c:marker>
            <c:symbol val="none"/>
          </c:marker>
          <c:cat>
            <c:strRef>
              <c:f>'Estaciones_Arauca'!$A$12:$A$23</c:f>
              <c:strCache>
                <c:ptCount val="0"/>
              </c:strCache>
            </c:strRef>
          </c:cat>
          <c:val>
            <c:numRef>
              <c:f>'Estaciones_Arauca'!$D$12:$D$23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Anomalía mensual estandarizada de P · IDEAM COCO EL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Anomalía mensual z</c:v>
          </c:tx>
          <c:marker>
            <c:symbol val="none"/>
          </c:marker>
          <c:cat>
            <c:strRef>
              <c:f>'Tumaco_P_diagnostico'!$A$6:$A$488</c:f>
              <c:strCache>
                <c:ptCount val="0"/>
              </c:strCache>
            </c:strRef>
          </c:cat>
          <c:val>
            <c:numRef>
              <c:f>'Tumaco_P_diagnostico'!$B$6:$B$488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Perfil T(k) del SNHT · máximo: 1997-06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er>
          <c:idx val="1"/>
          <c:order val="1"/>
          <c:tx>
            <c:v>SNHT T(k)</c:v>
          </c:tx>
          <c:marker>
            <c:symbol val="none"/>
          </c:marker>
          <c:cat>
            <c:strRef>
              <c:f>'Tumaco_P_diagnostico'!$A$6:$A$488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'Tumaco_P_diagnostico'!$C$6:$C$488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Precipitación mensual • COCO EL vs GRANJA EL MIRA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COCO EL [mm]</c:v>
          </c:tx>
          <c:marker>
            <c:symbol val="none"/>
          </c:marker>
          <c:cat>
            <c:strRef>
              <c:f>'Pares_Granja_Mira'!$A$7:$A$297</c:f>
              <c:strCache>
                <c:ptCount val="0"/>
              </c:strCache>
            </c:strRef>
          </c:cat>
          <c:val>
            <c:numRef>
              <c:f>'Pares_Granja_Mira'!$B$7:$B$297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Vecina [mm]</c:v>
          </c:tx>
          <c:marker>
            <c:symbol val="none"/>
          </c:marker>
          <c:cat>
            <c:strRef>
              <c:f>'Pares_Granja_Mira'!$A$7:$A$297</c:f>
              <c:strCache>
                <c:ptCount val="0"/>
              </c:strCache>
            </c:strRef>
          </c:cat>
          <c:val>
            <c:numRef>
              <c:f>'Pares_Granja_Mira'!$C$7:$C$297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Precipitación mensual • COCO EL vs AEROPUERTO LA FLORIDA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COCO EL [mm]</c:v>
          </c:tx>
          <c:marker>
            <c:symbol val="none"/>
          </c:marker>
          <c:cat>
            <c:strRef>
              <c:f>'Pares_La_Florida'!$A$7:$A$117</c:f>
              <c:strCache>
                <c:ptCount val="0"/>
              </c:strCache>
            </c:strRef>
          </c:cat>
          <c:val>
            <c:numRef>
              <c:f>'Pares_La_Florida'!$B$7:$B$117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Vecina [mm]</c:v>
          </c:tx>
          <c:marker>
            <c:symbol val="none"/>
          </c:marker>
          <c:cat>
            <c:strRef>
              <c:f>'Pares_La_Florida'!$A$7:$A$117</c:f>
              <c:strCache>
                <c:ptCount val="0"/>
              </c:strCache>
            </c:strRef>
          </c:cat>
          <c:val>
            <c:numRef>
              <c:f>'Pares_La_Florida'!$C$7:$C$117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ca8c32a1784b2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caa5ded2b94671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16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46ebb2c3cd433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21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70990679754c1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21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332a82e64546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05858aefad845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4119993a03eb4b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3.xml" Id="R7c0694e9bab843f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4.xml" Id="Rea42d4c48349463a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7" customHeight="1">
      <x:c r="A1" s="14" t="str">
        <x:v>SIAMS  |  AUDITORÍA DE HOMOGENEIDAD • A1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 ht="27" customHeight="1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3" ht="29" customHeight="1">
      <x:c r="A3" s="15" t="str">
        <x:v>Análisis estadístico ejecutado sobre excel.zip · 17 de octubre de 2026 · sin alterar archivos fuente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15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</x:row>
    <x:row r="5" ht="22" customHeight="1">
      <x:c r="A5" s="21" t="str">
        <x:v>SNHT ABSOLUTOS</x:v>
      </x:c>
      <x:c r="B5" s="21"/>
      <x:c r="C5" s="21"/>
      <x:c r="D5" s="21"/>
      <x:c r="E5" s="16"/>
      <x:c r="F5" s="21" t="str">
        <x:v>CONTRASTES NASA–IDEAM</x:v>
      </x:c>
      <x:c r="G5" s="21"/>
      <x:c r="H5" s="21"/>
      <x:c r="I5" s="21"/>
      <x:c r="J5" s="16"/>
      <x:c r="K5" s="21" t="str">
        <x:v>ESTACIONES IDEAM ARAUCA</x:v>
      </x:c>
      <x:c r="L5" s="21"/>
      <x:c r="M5" s="21"/>
      <x:c r="N5" s="21"/>
    </x:row>
    <x:row r="6" ht="24" customHeight="1">
      <x:c r="A6" s="27" t="str">
        <x:v>53</x:v>
      </x:c>
      <x:c r="B6" s="27"/>
      <x:c r="C6" s="27"/>
      <x:c r="D6" s="27"/>
      <x:c r="E6" s="16"/>
      <x:c r="F6" s="27" t="str">
        <x:v>5</x:v>
      </x:c>
      <x:c r="G6" s="27"/>
      <x:c r="H6" s="27"/>
      <x:c r="I6" s="27"/>
      <x:c r="J6" s="16"/>
      <x:c r="K6" s="27" t="str">
        <x:v>3</x:v>
      </x:c>
      <x:c r="L6" s="27"/>
      <x:c r="M6" s="27"/>
      <x:c r="N6" s="27"/>
    </x:row>
    <x:row r="7" ht="24" customHeight="1">
      <x:c r="A7" s="27"/>
      <x:c r="B7" s="27"/>
      <x:c r="C7" s="27"/>
      <x:c r="D7" s="27"/>
      <x:c r="E7" s="16"/>
      <x:c r="F7" s="27"/>
      <x:c r="G7" s="27"/>
      <x:c r="H7" s="27"/>
      <x:c r="I7" s="27"/>
      <x:c r="J7" s="16"/>
      <x:c r="K7" s="27"/>
      <x:c r="L7" s="27"/>
      <x:c r="M7" s="27"/>
      <x:c r="N7" s="27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</x:row>
    <x:row r="9" ht="27" customHeight="1">
      <x:c r="A9" s="35" t="str">
        <x:v>ESTADO DEL A1: PARCIAL · SNHT absoluto calculado. Tumaco: contraste IDEAM–IDEAM real con 402 meses pareados (2 estaciones), pero referencias disjuntas: no se certifica el cambio de 1997 ni la homogeneidad definitiva.</x:v>
      </x:c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</x:row>
    <x:row r="10" ht="27" customHeight="1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</x:row>
    <x:row r="12" ht="24" customHeight="1">
      <x:c r="A12" s="40" t="str">
        <x:v>Componente</x:v>
      </x:c>
      <x:c r="B12" s="40" t="str">
        <x:v>Resultado</x:v>
      </x:c>
      <x:c r="C12" s="40" t="str">
        <x:v>Alcance</x:v>
      </x:c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</x:row>
    <x:row r="13" ht="30" customHeight="1">
      <x:c r="A13" s="44" t="str">
        <x:v>SNHT mensual</x:v>
      </x:c>
      <x:c r="B13" s="44" t="str">
        <x:v>Calculado</x:v>
      </x:c>
      <x:c r="C13" s="42" t="str">
        <x:v>53 pruebas, anomalías estacionales, permutaciones de años y control FDR.</x:v>
      </x:c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</x:row>
    <x:row r="14" ht="30" customHeight="1">
      <x:c r="A14" s="44" t="str">
        <x:v>Tumaco – NASA/IDEAM</x:v>
      </x:c>
      <x:c r="B14" s="44" t="str">
        <x:v>Exploratorio</x:v>
      </x:c>
      <x:c r="C14" s="42" t="str">
        <x:v>5 contrastes con datos mensuales coincidentes. NASA POWER no es estación vecina IDEAM.</x:v>
      </x:c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</x:row>
    <x:row r="15" ht="30" customHeight="1">
      <x:c r="A15" s="44" t="str">
        <x:v>Arauca – estaciones</x:v>
      </x:c>
      <x:c r="B15" s="44" t="str">
        <x:v>Climatologías</x:v>
      </x:c>
      <x:c r="C15" s="42" t="str">
        <x:v>3 estaciones IDEAM con 12 medias climáticas por mes; sin series históricas individuales.</x:v>
      </x:c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</x:row>
    <x:row r="16" ht="30" customHeight="1">
      <x:c r="A16" s="44" t="str">
        <x:v>Tumaco – IDEAM/IDEAM</x:v>
      </x:c>
      <x:c r="B16" s="44" t="str">
        <x:v>Contraste parcial</x:v>
      </x:c>
      <x:c r="C16" s="42" t="str">
        <x:v>COCO EL vs Granja El Mira AUT (2000–2025) y La Florida (1985–1995); sin referencia que cruce 1997.</x:v>
      </x:c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</x:row>
    <x:row r="19" ht="27" customHeight="1">
      <x:c r="A19" s="47" t="str">
        <x:v>El SNHT absoluto detecta cambios estadísticos en una serie; NO determina por sí solo si son climáticos o producidos por traslados, instrumentos o errores. Incluso una prueba relativa frente a NASA POWER es orientativa; la referencia definitiva debe construirse con estaciones observadas próximas.</x:v>
      </x:c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</x:row>
    <x:row r="20" ht="27" customHeight="1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</x:row>
    <x:row r="22" ht="22" customHeight="1">
      <x:c r="A22" s="50" t="str">
        <x:v>NAVEGACIÓN · SNHT_absoluto | Contraste_Tumaco | Contraste_IDEAM_2026 | Ubicacion_IDEAM_Tumaco | Pares_Granja_Mira | Pares_La_Florida | Notas_Validacion_IDEAM</x:v>
      </x:c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</x:row>
  </x:sheetData>
  <x:mergeCells>
    <x:mergeCell ref="A1:N2"/>
    <x:mergeCell ref="A3:N3"/>
    <x:mergeCell ref="A5:D5"/>
    <x:mergeCell ref="A6:D7"/>
    <x:mergeCell ref="F5:I5"/>
    <x:mergeCell ref="F6:I7"/>
    <x:mergeCell ref="K5:N5"/>
    <x:mergeCell ref="K6:N7"/>
    <x:mergeCell ref="A9:N10"/>
    <x:mergeCell ref="C13:N13"/>
    <x:mergeCell ref="C14:N14"/>
    <x:mergeCell ref="C15:N15"/>
    <x:mergeCell ref="C16:N16"/>
    <x:mergeCell ref="A19:N20"/>
    <x:mergeCell ref="A22:N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30" hidden="0" customWidth="1"/>
    <x:col min="4" max="4" width="12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2" hidden="0" customWidth="1"/>
  </x:cols>
  <x:sheetData>
    <x:row r="1" ht="27" customHeight="1">
      <x:c r="A1" s="14" t="str">
        <x:v>SNHT ABSOLUTO • RESULTADOS POR SERIE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 ht="27" customHeight="1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3" ht="29" customHeight="1">
      <x:c r="A3" s="15" t="str">
        <x:v>Anomalías estacionales por mes · p empírico (999 permutaciones de años) · q = Benjamini–Hochberg · umbral 0,05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</x:row>
    <x:row r="5" ht="31" customHeight="1">
      <x:c r="A5" s="53" t="str">
        <x:v>Fuente</x:v>
      </x:c>
      <x:c r="B5" s="53" t="str">
        <x:v>Sede</x:v>
      </x:c>
      <x:c r="C5" s="53" t="str">
        <x:v>Variable</x:v>
      </x:c>
      <x:c r="D5" s="53" t="str">
        <x:v>n meses</x:v>
      </x:c>
      <x:c r="E5" s="53" t="str">
        <x:v>Desde</x:v>
      </x:c>
      <x:c r="F5" s="53" t="str">
        <x:v>Hasta</x:v>
      </x:c>
      <x:c r="G5" s="53" t="str">
        <x:v>SNHT Tmax</x:v>
      </x:c>
      <x:c r="H5" s="53" t="str">
        <x:v>Corte SNHT</x:v>
      </x:c>
      <x:c r="I5" s="53" t="str">
        <x:v>p bloques</x:v>
      </x:c>
      <x:c r="J5" s="53" t="str">
        <x:v>q BH</x:v>
      </x:c>
      <x:c r="K5" s="53" t="str">
        <x:v>p Pettitt origen</x:v>
      </x:c>
      <x:c r="L5" s="53" t="str">
        <x:v>Corte Pettitt</x:v>
      </x:c>
      <x:c r="M5" s="53" t="str">
        <x:v>Interpretación</x:v>
      </x:c>
    </x:row>
    <x:row r="6" ht="20" customHeight="1">
      <x:c r="A6" s="16" t="str">
        <x:v>IDEAM</x:v>
      </x:c>
      <x:c r="B6" s="16" t="str">
        <x:v>Arauca</x:v>
      </x:c>
      <x:c r="C6" s="16" t="str">
        <x:v>Series mensuales ausentes</x:v>
      </x:c>
      <x:c r="D6" s="60" t="n">
        <x:v>0</x:v>
      </x:c>
      <x:c r="E6" s="16"/>
      <x:c r="F6" s="16"/>
      <x:c r="G6" s="56"/>
      <x:c r="H6" s="16"/>
      <x:c r="I6" s="58"/>
      <x:c r="J6" s="58"/>
      <x:c r="K6" s="58"/>
      <x:c r="L6" s="16"/>
      <x:c r="M6" s="16" t="str">
        <x:f>IF(ISNUMBER(J6),IF(J6&lt;0.05,"ALERTA ESTADÍSTICA","SIN ALERTA"),"NO EVALUABLE")</x:f>
        <x:v>NO EVALUABLE</x:v>
      </x:c>
    </x:row>
    <x:row r="7" ht="20" customHeight="1">
      <x:c r="A7" s="16" t="str">
        <x:v>IDEAM</x:v>
      </x:c>
      <x:c r="B7" s="16" t="str">
        <x:v>Tumaco</x:v>
      </x:c>
      <x:c r="C7" s="16" t="str">
        <x:v>precipitacion</x:v>
      </x:c>
      <x:c r="D7" s="60" t="n">
        <x:v>483</x:v>
      </x:c>
      <x:c r="E7" s="16" t="str">
        <x:v>1985-01</x:v>
      </x:c>
      <x:c r="F7" s="16" t="str">
        <x:v>2025-07</x:v>
      </x:c>
      <x:c r="G7" s="56" t="n">
        <x:v>62.29977</x:v>
      </x:c>
      <x:c r="H7" s="16" t="str">
        <x:v>1997-06</x:v>
      </x:c>
      <x:c r="I7" s="58" t="n">
        <x:v>0.001</x:v>
      </x:c>
      <x:c r="J7" s="58" t="n">
        <x:v>0.00442</x:v>
      </x:c>
      <x:c r="K7" s="58" t="n">
        <x:v>1.325622892739118e-9</x:v>
      </x:c>
      <x:c r="L7" s="16" t="str">
        <x:v>1997-03</x:v>
      </x:c>
      <x:c r="M7" s="16" t="str">
        <x:f>IF(ISNUMBER(J7),IF(J7&lt;0.05,"ALERTA ESTADÍSTICA","SIN ALERTA"),"NO EVALUABLE")</x:f>
        <x:v>ALERTA ESTADÍSTICA</x:v>
      </x:c>
    </x:row>
    <x:row r="8" ht="20" customHeight="1">
      <x:c r="A8" s="16" t="str">
        <x:v>IDEAM</x:v>
      </x:c>
      <x:c r="B8" s="16" t="str">
        <x:v>Tumaco</x:v>
      </x:c>
      <x:c r="C8" s="16" t="str">
        <x:v>temperatura_media</x:v>
      </x:c>
      <x:c r="D8" s="60" t="n">
        <x:v>307</x:v>
      </x:c>
      <x:c r="E8" s="16" t="str">
        <x:v>1992-02</x:v>
      </x:c>
      <x:c r="F8" s="16" t="str">
        <x:v>2020-10</x:v>
      </x:c>
      <x:c r="G8" s="56" t="n">
        <x:v>37.60225</x:v>
      </x:c>
      <x:c r="H8" s="16" t="str">
        <x:v>2013-08</x:v>
      </x:c>
      <x:c r="I8" s="58" t="n">
        <x:v>0.084</x:v>
      </x:c>
      <x:c r="J8" s="58" t="n">
        <x:v>0.13652</x:v>
      </x:c>
      <x:c r="K8" s="58" t="n">
        <x:v>1.553062920731035e-8</x:v>
      </x:c>
      <x:c r="L8" s="16" t="str">
        <x:v>2009-03</x:v>
      </x:c>
      <x:c r="M8" s="16" t="str">
        <x:f>IF(ISNUMBER(J8),IF(J8&lt;0.05,"ALERTA ESTADÍSTICA","SIN ALERTA"),"NO EVALUABLE")</x:f>
        <x:v>SIN ALERTA</x:v>
      </x:c>
    </x:row>
    <x:row r="9" ht="20" customHeight="1">
      <x:c r="A9" s="16" t="str">
        <x:v>IDEAM</x:v>
      </x:c>
      <x:c r="B9" s="16" t="str">
        <x:v>Tumaco</x:v>
      </x:c>
      <x:c r="C9" s="16" t="str">
        <x:v>temperatura_maxima</x:v>
      </x:c>
      <x:c r="D9" s="60" t="n">
        <x:v>261</x:v>
      </x:c>
      <x:c r="E9" s="16" t="str">
        <x:v>1992-01</x:v>
      </x:c>
      <x:c r="F9" s="16" t="str">
        <x:v>2020-10</x:v>
      </x:c>
      <x:c r="G9" s="56" t="n">
        <x:v>60.49725</x:v>
      </x:c>
      <x:c r="H9" s="16" t="str">
        <x:v>1997-04</x:v>
      </x:c>
      <x:c r="I9" s="58" t="n">
        <x:v>0.007</x:v>
      </x:c>
      <x:c r="J9" s="58" t="n">
        <x:v>0.01855</x:v>
      </x:c>
      <x:c r="K9" s="58" t="n">
        <x:v>7.747374380242599e-10</x:v>
      </x:c>
      <x:c r="L9" s="16" t="str">
        <x:v>1997-02</x:v>
      </x:c>
      <x:c r="M9" s="16" t="str">
        <x:f>IF(ISNUMBER(J9),IF(J9&lt;0.05,"ALERTA ESTADÍSTICA","SIN ALERTA"),"NO EVALUABLE")</x:f>
        <x:v>ALERTA ESTADÍSTICA</x:v>
      </x:c>
    </x:row>
    <x:row r="10" ht="20" customHeight="1">
      <x:c r="A10" s="16" t="str">
        <x:v>IDEAM</x:v>
      </x:c>
      <x:c r="B10" s="16" t="str">
        <x:v>Tumaco</x:v>
      </x:c>
      <x:c r="C10" s="16" t="str">
        <x:v>temperatura_minima</x:v>
      </x:c>
      <x:c r="D10" s="60" t="n">
        <x:v>282</x:v>
      </x:c>
      <x:c r="E10" s="16" t="str">
        <x:v>1992-01</x:v>
      </x:c>
      <x:c r="F10" s="16" t="str">
        <x:v>2020-10</x:v>
      </x:c>
      <x:c r="G10" s="56" t="n">
        <x:v>25.85164</x:v>
      </x:c>
      <x:c r="H10" s="16" t="str">
        <x:v>2014-06</x:v>
      </x:c>
      <x:c r="I10" s="58" t="n">
        <x:v>0.261</x:v>
      </x:c>
      <x:c r="J10" s="58" t="n">
        <x:v>0.32936</x:v>
      </x:c>
      <x:c r="K10" s="58" t="n">
        <x:v>0.0007666841306842203</x:v>
      </x:c>
      <x:c r="L10" s="16" t="str">
        <x:v>2004-09</x:v>
      </x:c>
      <x:c r="M10" s="16" t="str">
        <x:f>IF(ISNUMBER(J10),IF(J10&lt;0.05,"ALERTA ESTADÍSTICA","SIN ALERTA"),"NO EVALUABLE")</x:f>
        <x:v>SIN ALERTA</x:v>
      </x:c>
    </x:row>
    <x:row r="11" ht="20" customHeight="1">
      <x:c r="A11" s="16" t="str">
        <x:v>IDEAM</x:v>
      </x:c>
      <x:c r="B11" s="16" t="str">
        <x:v>Tumaco</x:v>
      </x:c>
      <x:c r="C11" s="16" t="str">
        <x:v>humedad_relativa</x:v>
      </x:c>
      <x:c r="D11" s="60" t="n">
        <x:v>53</x:v>
      </x:c>
      <x:c r="E11" s="16" t="str">
        <x:v>2016-09</x:v>
      </x:c>
      <x:c r="F11" s="16" t="str">
        <x:v>2022-06</x:v>
      </x:c>
      <x:c r="G11" s="56" t="n">
        <x:v>1.20513</x:v>
      </x:c>
      <x:c r="H11" s="16" t="str">
        <x:v>2019-03</x:v>
      </x:c>
      <x:c r="I11" s="58" t="n">
        <x:v>0.717</x:v>
      </x:c>
      <x:c r="J11" s="58" t="n">
        <x:v>0.76002</x:v>
      </x:c>
      <x:c r="K11" s="58" t="n">
        <x:v>0.0936359935684873</x:v>
      </x:c>
      <x:c r="L11" s="16"/>
      <x:c r="M11" s="16" t="str">
        <x:f>IF(ISNUMBER(J11),IF(J11&lt;0.05,"ALERTA ESTADÍSTICA","SIN ALERTA"),"NO EVALUABLE")</x:f>
        <x:v>SIN ALERTA</x:v>
      </x:c>
    </x:row>
    <x:row r="12" ht="20" customHeight="1">
      <x:c r="A12" s="16" t="str">
        <x:v>NASA POWER</x:v>
      </x:c>
      <x:c r="B12" s="16" t="str">
        <x:v>Arauca</x:v>
      </x:c>
      <x:c r="C12" s="16" t="str">
        <x:v>precipitacion_mm_dia</x:v>
      </x:c>
      <x:c r="D12" s="60" t="n">
        <x:v>319</x:v>
      </x:c>
      <x:c r="E12" s="16" t="str">
        <x:v>2000-01</x:v>
      </x:c>
      <x:c r="F12" s="16" t="str">
        <x:v>2026-07</x:v>
      </x:c>
      <x:c r="G12" s="56" t="n">
        <x:v>18.34298</x:v>
      </x:c>
      <x:c r="H12" s="16" t="str">
        <x:v>2018-10</x:v>
      </x:c>
      <x:c r="I12" s="58" t="n">
        <x:v>0.085</x:v>
      </x:c>
      <x:c r="J12" s="58" t="n">
        <x:v>0.13652</x:v>
      </x:c>
      <x:c r="K12" s="58" t="n">
        <x:v>0.02270526133306144</x:v>
      </x:c>
      <x:c r="L12" s="16" t="str">
        <x:v>2018-10</x:v>
      </x:c>
      <x:c r="M12" s="16" t="str">
        <x:f>IF(ISNUMBER(J12),IF(J12&lt;0.05,"ALERTA ESTADÍSTICA","SIN ALERTA"),"NO EVALUABLE")</x:f>
        <x:v>SIN ALERTA</x:v>
      </x:c>
    </x:row>
    <x:row r="13" ht="20" customHeight="1">
      <x:c r="A13" s="16" t="str">
        <x:v>NASA POWER</x:v>
      </x:c>
      <x:c r="B13" s="16" t="str">
        <x:v>Arauca</x:v>
      </x:c>
      <x:c r="C13" s="16" t="str">
        <x:v>temperatura_media_C</x:v>
      </x:c>
      <x:c r="D13" s="60" t="n">
        <x:v>319</x:v>
      </x:c>
      <x:c r="E13" s="16" t="str">
        <x:v>2000-01</x:v>
      </x:c>
      <x:c r="F13" s="16" t="str">
        <x:v>2026-07</x:v>
      </x:c>
      <x:c r="G13" s="56" t="n">
        <x:v>95.05881</x:v>
      </x:c>
      <x:c r="H13" s="16" t="str">
        <x:v>2019-11</x:v>
      </x:c>
      <x:c r="I13" s="58" t="n">
        <x:v>0.004</x:v>
      </x:c>
      <x:c r="J13" s="58" t="n">
        <x:v>0.01247</x:v>
      </x:c>
      <x:c r="K13" s="58" t="n">
        <x:v>0.000001242618387676126</x:v>
      </x:c>
      <x:c r="L13" s="16" t="str">
        <x:v>2018-12</x:v>
      </x:c>
      <x:c r="M13" s="16" t="str">
        <x:f>IF(ISNUMBER(J13),IF(J13&lt;0.05,"ALERTA ESTADÍSTICA","SIN ALERTA"),"NO EVALUABLE")</x:f>
        <x:v>ALERTA ESTADÍSTICA</x:v>
      </x:c>
    </x:row>
    <x:row r="14" ht="20" customHeight="1">
      <x:c r="A14" s="16" t="str">
        <x:v>NASA POWER</x:v>
      </x:c>
      <x:c r="B14" s="16" t="str">
        <x:v>Arauca</x:v>
      </x:c>
      <x:c r="C14" s="16" t="str">
        <x:v>temperatura_maxima_C</x:v>
      </x:c>
      <x:c r="D14" s="60" t="n">
        <x:v>319</x:v>
      </x:c>
      <x:c r="E14" s="16" t="str">
        <x:v>2000-01</x:v>
      </x:c>
      <x:c r="F14" s="16" t="str">
        <x:v>2026-07</x:v>
      </x:c>
      <x:c r="G14" s="56" t="n">
        <x:v>84.695</x:v>
      </x:c>
      <x:c r="H14" s="16" t="str">
        <x:v>2019-11</x:v>
      </x:c>
      <x:c r="I14" s="58" t="n">
        <x:v>0.007</x:v>
      </x:c>
      <x:c r="J14" s="58" t="n">
        <x:v>0.01855</x:v>
      </x:c>
      <x:c r="K14" s="58" t="n">
        <x:v>0.00005934724362841426</x:v>
      </x:c>
      <x:c r="L14" s="16" t="str">
        <x:v>2018-11</x:v>
      </x:c>
      <x:c r="M14" s="16" t="str">
        <x:f>IF(ISNUMBER(J14),IF(J14&lt;0.05,"ALERTA ESTADÍSTICA","SIN ALERTA"),"NO EVALUABLE")</x:f>
        <x:v>ALERTA ESTADÍSTICA</x:v>
      </x:c>
    </x:row>
    <x:row r="15" ht="20" customHeight="1">
      <x:c r="A15" s="16" t="str">
        <x:v>NASA POWER</x:v>
      </x:c>
      <x:c r="B15" s="16" t="str">
        <x:v>Arauca</x:v>
      </x:c>
      <x:c r="C15" s="16" t="str">
        <x:v>temperatura_minima_C</x:v>
      </x:c>
      <x:c r="D15" s="60" t="n">
        <x:v>319</x:v>
      </x:c>
      <x:c r="E15" s="16" t="str">
        <x:v>2000-01</x:v>
      </x:c>
      <x:c r="F15" s="16" t="str">
        <x:v>2026-07</x:v>
      </x:c>
      <x:c r="G15" s="56" t="n">
        <x:v>96.98823</x:v>
      </x:c>
      <x:c r="H15" s="16" t="str">
        <x:v>2019-11</x:v>
      </x:c>
      <x:c r="I15" s="58" t="n">
        <x:v>0.002</x:v>
      </x:c>
      <x:c r="J15" s="58" t="n">
        <x:v>0.00707</x:v>
      </x:c>
      <x:c r="K15" s="58" t="n">
        <x:v>1.261429871917455e-8</x:v>
      </x:c>
      <x:c r="L15" s="16" t="str">
        <x:v>2018-12</x:v>
      </x:c>
      <x:c r="M15" s="16" t="str">
        <x:f>IF(ISNUMBER(J15),IF(J15&lt;0.05,"ALERTA ESTADÍSTICA","SIN ALERTA"),"NO EVALUABLE")</x:f>
        <x:v>ALERTA ESTADÍSTICA</x:v>
      </x:c>
    </x:row>
    <x:row r="16" ht="20" customHeight="1">
      <x:c r="A16" s="16" t="str">
        <x:v>NASA POWER</x:v>
      </x:c>
      <x:c r="B16" s="16" t="str">
        <x:v>Arauca</x:v>
      </x:c>
      <x:c r="C16" s="16" t="str">
        <x:v>humedad_relativa_pct</x:v>
      </x:c>
      <x:c r="D16" s="60" t="n">
        <x:v>319</x:v>
      </x:c>
      <x:c r="E16" s="16" t="str">
        <x:v>2000-01</x:v>
      </x:c>
      <x:c r="F16" s="16" t="str">
        <x:v>2026-07</x:v>
      </x:c>
      <x:c r="G16" s="56" t="n">
        <x:v>65.20317</x:v>
      </x:c>
      <x:c r="H16" s="16" t="str">
        <x:v>2019-12</x:v>
      </x:c>
      <x:c r="I16" s="58" t="n">
        <x:v>0.021</x:v>
      </x:c>
      <x:c r="J16" s="58" t="n">
        <x:v>0.04122</x:v>
      </x:c>
      <x:c r="K16" s="58" t="n">
        <x:v>0.00112187614064471</x:v>
      </x:c>
      <x:c r="L16" s="16" t="str">
        <x:v>2019-11</x:v>
      </x:c>
      <x:c r="M16" s="16" t="str">
        <x:f>IF(ISNUMBER(J16),IF(J16&lt;0.05,"ALERTA ESTADÍSTICA","SIN ALERTA"),"NO EVALUABLE")</x:f>
        <x:v>ALERTA ESTADÍSTICA</x:v>
      </x:c>
    </x:row>
    <x:row r="17" ht="20" customHeight="1">
      <x:c r="A17" s="16" t="str">
        <x:v>NASA POWER</x:v>
      </x:c>
      <x:c r="B17" s="16" t="str">
        <x:v>Arauca</x:v>
      </x:c>
      <x:c r="C17" s="16" t="str">
        <x:v>viento_2m_m_s</x:v>
      </x:c>
      <x:c r="D17" s="60" t="n">
        <x:v>319</x:v>
      </x:c>
      <x:c r="E17" s="16" t="str">
        <x:v>2000-01</x:v>
      </x:c>
      <x:c r="F17" s="16" t="str">
        <x:v>2026-07</x:v>
      </x:c>
      <x:c r="G17" s="56" t="n">
        <x:v>38.36272</x:v>
      </x:c>
      <x:c r="H17" s="16" t="str">
        <x:v>2019-12</x:v>
      </x:c>
      <x:c r="I17" s="58" t="n">
        <x:v>0.091</x:v>
      </x:c>
      <x:c r="J17" s="58" t="n">
        <x:v>0.14185</x:v>
      </x:c>
      <x:c r="K17" s="58" t="n">
        <x:v>0.03258347806578142</x:v>
      </x:c>
      <x:c r="L17" s="16" t="str">
        <x:v>2018-10</x:v>
      </x:c>
      <x:c r="M17" s="16" t="str">
        <x:f>IF(ISNUMBER(J17),IF(J17&lt;0.05,"ALERTA ESTADÍSTICA","SIN ALERTA"),"NO EVALUABLE")</x:f>
        <x:v>SIN ALERTA</x:v>
      </x:c>
    </x:row>
    <x:row r="18" ht="20" customHeight="1">
      <x:c r="A18" s="16" t="str">
        <x:v>NASA POWER</x:v>
      </x:c>
      <x:c r="B18" s="16" t="str">
        <x:v>Arauca</x:v>
      </x:c>
      <x:c r="C18" s="16" t="str">
        <x:v>presion_superficie_kPa</x:v>
      </x:c>
      <x:c r="D18" s="60" t="n">
        <x:v>319</x:v>
      </x:c>
      <x:c r="E18" s="16" t="str">
        <x:v>2000-01</x:v>
      </x:c>
      <x:c r="F18" s="16" t="str">
        <x:v>2026-07</x:v>
      </x:c>
      <x:c r="G18" s="56" t="n">
        <x:v>19.73186</x:v>
      </x:c>
      <x:c r="H18" s="16" t="str">
        <x:v>2004-09</x:v>
      </x:c>
      <x:c r="I18" s="58" t="n">
        <x:v>0.201</x:v>
      </x:c>
      <x:c r="J18" s="58" t="n">
        <x:v>0.27315</x:v>
      </x:c>
      <x:c r="K18" s="58" t="n">
        <x:v>0.3733983488466879</x:v>
      </x:c>
      <x:c r="L18" s="16"/>
      <x:c r="M18" s="16" t="str">
        <x:f>IF(ISNUMBER(J18),IF(J18&lt;0.05,"ALERTA ESTADÍSTICA","SIN ALERTA"),"NO EVALUABLE")</x:f>
        <x:v>SIN ALERTA</x:v>
      </x:c>
    </x:row>
    <x:row r="19" ht="20" customHeight="1">
      <x:c r="A19" s="16" t="str">
        <x:v>NASA POWER</x:v>
      </x:c>
      <x:c r="B19" s="16" t="str">
        <x:v>Arauca</x:v>
      </x:c>
      <x:c r="C19" s="16" t="str">
        <x:v>radiacion_solar_kWh_m2_dia</x:v>
      </x:c>
      <x:c r="D19" s="60" t="n">
        <x:v>319</x:v>
      </x:c>
      <x:c r="E19" s="16" t="str">
        <x:v>2000-01</x:v>
      </x:c>
      <x:c r="F19" s="16" t="str">
        <x:v>2026-07</x:v>
      </x:c>
      <x:c r="G19" s="56" t="n">
        <x:v>7.70716</x:v>
      </x:c>
      <x:c r="H19" s="16" t="str">
        <x:v>2023-10</x:v>
      </x:c>
      <x:c r="I19" s="58" t="n">
        <x:v>0.185</x:v>
      </x:c>
      <x:c r="J19" s="58" t="n">
        <x:v>0.25803</x:v>
      </x:c>
      <x:c r="K19" s="58" t="n">
        <x:v>0.8737424018461767</x:v>
      </x:c>
      <x:c r="L19" s="16"/>
      <x:c r="M19" s="16" t="str">
        <x:f>IF(ISNUMBER(J19),IF(J19&lt;0.05,"ALERTA ESTADÍSTICA","SIN ALERTA"),"NO EVALUABLE")</x:f>
        <x:v>SIN ALERTA</x:v>
      </x:c>
    </x:row>
    <x:row r="20" ht="20" customHeight="1">
      <x:c r="A20" s="16" t="str">
        <x:v>NASA POWER</x:v>
      </x:c>
      <x:c r="B20" s="16" t="str">
        <x:v>La Paz</x:v>
      </x:c>
      <x:c r="C20" s="16" t="str">
        <x:v>precipitacion_mm_dia</x:v>
      </x:c>
      <x:c r="D20" s="60" t="n">
        <x:v>319</x:v>
      </x:c>
      <x:c r="E20" s="16" t="str">
        <x:v>2000-01</x:v>
      </x:c>
      <x:c r="F20" s="16" t="str">
        <x:v>2026-07</x:v>
      </x:c>
      <x:c r="G20" s="56" t="n">
        <x:v>18.52386</x:v>
      </x:c>
      <x:c r="H20" s="16" t="str">
        <x:v>2022-02</x:v>
      </x:c>
      <x:c r="I20" s="58" t="n">
        <x:v>0.065</x:v>
      </x:c>
      <x:c r="J20" s="58" t="n">
        <x:v>0.11483</x:v>
      </x:c>
      <x:c r="K20" s="58" t="n">
        <x:v>0.3258811550867785</x:v>
      </x:c>
      <x:c r="L20" s="16"/>
      <x:c r="M20" s="16" t="str">
        <x:f>IF(ISNUMBER(J20),IF(J20&lt;0.05,"ALERTA ESTADÍSTICA","SIN ALERTA"),"NO EVALUABLE")</x:f>
        <x:v>SIN ALERTA</x:v>
      </x:c>
    </x:row>
    <x:row r="21" ht="20" customHeight="1">
      <x:c r="A21" s="16" t="str">
        <x:v>NASA POWER</x:v>
      </x:c>
      <x:c r="B21" s="16" t="str">
        <x:v>La Paz</x:v>
      </x:c>
      <x:c r="C21" s="16" t="str">
        <x:v>temperatura_media_C</x:v>
      </x:c>
      <x:c r="D21" s="60" t="n">
        <x:v>319</x:v>
      </x:c>
      <x:c r="E21" s="16" t="str">
        <x:v>2000-01</x:v>
      </x:c>
      <x:c r="F21" s="16" t="str">
        <x:v>2026-07</x:v>
      </x:c>
      <x:c r="G21" s="56" t="n">
        <x:v>38.18486</x:v>
      </x:c>
      <x:c r="H21" s="16" t="str">
        <x:v>2013-10</x:v>
      </x:c>
      <x:c r="I21" s="58" t="n">
        <x:v>0.069</x:v>
      </x:c>
      <x:c r="J21" s="58" t="n">
        <x:v>0.11797</x:v>
      </x:c>
      <x:c r="K21" s="58" t="n">
        <x:v>0.001941770818348971</x:v>
      </x:c>
      <x:c r="L21" s="16" t="str">
        <x:v>2013-02</x:v>
      </x:c>
      <x:c r="M21" s="16" t="str">
        <x:f>IF(ISNUMBER(J21),IF(J21&lt;0.05,"ALERTA ESTADÍSTICA","SIN ALERTA"),"NO EVALUABLE")</x:f>
        <x:v>SIN ALERTA</x:v>
      </x:c>
    </x:row>
    <x:row r="22" ht="20" customHeight="1">
      <x:c r="A22" s="16" t="str">
        <x:v>NASA POWER</x:v>
      </x:c>
      <x:c r="B22" s="16" t="str">
        <x:v>La Paz</x:v>
      </x:c>
      <x:c r="C22" s="16" t="str">
        <x:v>temperatura_maxima_C</x:v>
      </x:c>
      <x:c r="D22" s="60" t="n">
        <x:v>319</x:v>
      </x:c>
      <x:c r="E22" s="16" t="str">
        <x:v>2000-01</x:v>
      </x:c>
      <x:c r="F22" s="16" t="str">
        <x:v>2026-07</x:v>
      </x:c>
      <x:c r="G22" s="56" t="n">
        <x:v>23.53887</x:v>
      </x:c>
      <x:c r="H22" s="16" t="str">
        <x:v>2012-10</x:v>
      </x:c>
      <x:c r="I22" s="58" t="n">
        <x:v>0.213</x:v>
      </x:c>
      <x:c r="J22" s="58" t="n">
        <x:v>0.28223</x:v>
      </x:c>
      <x:c r="K22" s="58" t="n">
        <x:v>0.001640931392303939</x:v>
      </x:c>
      <x:c r="L22" s="16" t="str">
        <x:v>2012-12</x:v>
      </x:c>
      <x:c r="M22" s="16" t="str">
        <x:f>IF(ISNUMBER(J22),IF(J22&lt;0.05,"ALERTA ESTADÍSTICA","SIN ALERTA"),"NO EVALUABLE")</x:f>
        <x:v>SIN ALERTA</x:v>
      </x:c>
    </x:row>
    <x:row r="23" ht="20" customHeight="1">
      <x:c r="A23" s="16" t="str">
        <x:v>NASA POWER</x:v>
      </x:c>
      <x:c r="B23" s="16" t="str">
        <x:v>La Paz</x:v>
      </x:c>
      <x:c r="C23" s="16" t="str">
        <x:v>temperatura_minima_C</x:v>
      </x:c>
      <x:c r="D23" s="60" t="n">
        <x:v>319</x:v>
      </x:c>
      <x:c r="E23" s="16" t="str">
        <x:v>2000-01</x:v>
      </x:c>
      <x:c r="F23" s="16" t="str">
        <x:v>2026-07</x:v>
      </x:c>
      <x:c r="G23" s="56" t="n">
        <x:v>53.12373</x:v>
      </x:c>
      <x:c r="H23" s="16" t="str">
        <x:v>2023-05</x:v>
      </x:c>
      <x:c r="I23" s="58" t="n">
        <x:v>0.012</x:v>
      </x:c>
      <x:c r="J23" s="58" t="n">
        <x:v>0.02765</x:v>
      </x:c>
      <x:c r="K23" s="58" t="n">
        <x:v>0.008655065318953412</x:v>
      </x:c>
      <x:c r="L23" s="16" t="str">
        <x:v>2014-03</x:v>
      </x:c>
      <x:c r="M23" s="16" t="str">
        <x:f>IF(ISNUMBER(J23),IF(J23&lt;0.05,"ALERTA ESTADÍSTICA","SIN ALERTA"),"NO EVALUABLE")</x:f>
        <x:v>ALERTA ESTADÍSTICA</x:v>
      </x:c>
    </x:row>
    <x:row r="24" ht="20" customHeight="1">
      <x:c r="A24" s="16" t="str">
        <x:v>NASA POWER</x:v>
      </x:c>
      <x:c r="B24" s="16" t="str">
        <x:v>La Paz</x:v>
      </x:c>
      <x:c r="C24" s="16" t="str">
        <x:v>humedad_relativa_pct</x:v>
      </x:c>
      <x:c r="D24" s="60" t="n">
        <x:v>319</x:v>
      </x:c>
      <x:c r="E24" s="16" t="str">
        <x:v>2000-01</x:v>
      </x:c>
      <x:c r="F24" s="16" t="str">
        <x:v>2026-07</x:v>
      </x:c>
      <x:c r="G24" s="56" t="n">
        <x:v>16.7931</x:v>
      </x:c>
      <x:c r="H24" s="16" t="str">
        <x:v>2022-02</x:v>
      </x:c>
      <x:c r="I24" s="58" t="n">
        <x:v>0.476</x:v>
      </x:c>
      <x:c r="J24" s="58" t="n">
        <x:v>0.52558</x:v>
      </x:c>
      <x:c r="K24" s="58" t="n">
        <x:v>0.1627254376032637</x:v>
      </x:c>
      <x:c r="L24" s="16"/>
      <x:c r="M24" s="16" t="str">
        <x:f>IF(ISNUMBER(J24),IF(J24&lt;0.05,"ALERTA ESTADÍSTICA","SIN ALERTA"),"NO EVALUABLE")</x:f>
        <x:v>SIN ALERTA</x:v>
      </x:c>
    </x:row>
    <x:row r="25" ht="20" customHeight="1">
      <x:c r="A25" s="16" t="str">
        <x:v>NASA POWER</x:v>
      </x:c>
      <x:c r="B25" s="16" t="str">
        <x:v>La Paz</x:v>
      </x:c>
      <x:c r="C25" s="16" t="str">
        <x:v>viento_2m_m_s</x:v>
      </x:c>
      <x:c r="D25" s="60" t="n">
        <x:v>319</x:v>
      </x:c>
      <x:c r="E25" s="16" t="str">
        <x:v>2000-01</x:v>
      </x:c>
      <x:c r="F25" s="16" t="str">
        <x:v>2026-07</x:v>
      </x:c>
      <x:c r="G25" s="56" t="n">
        <x:v>46.00911</x:v>
      </x:c>
      <x:c r="H25" s="16" t="str">
        <x:v>2009-12</x:v>
      </x:c>
      <x:c r="I25" s="58" t="n">
        <x:v>0.019</x:v>
      </x:c>
      <x:c r="J25" s="58" t="n">
        <x:v>0.03873</x:v>
      </x:c>
      <x:c r="K25" s="58" t="n">
        <x:v>0.03397095869646253</x:v>
      </x:c>
      <x:c r="L25" s="16" t="str">
        <x:v>2009-04</x:v>
      </x:c>
      <x:c r="M25" s="16" t="str">
        <x:f>IF(ISNUMBER(J25),IF(J25&lt;0.05,"ALERTA ESTADÍSTICA","SIN ALERTA"),"NO EVALUABLE")</x:f>
        <x:v>ALERTA ESTADÍSTICA</x:v>
      </x:c>
    </x:row>
    <x:row r="26" ht="20" customHeight="1">
      <x:c r="A26" s="16" t="str">
        <x:v>NASA POWER</x:v>
      </x:c>
      <x:c r="B26" s="16" t="str">
        <x:v>La Paz</x:v>
      </x:c>
      <x:c r="C26" s="16" t="str">
        <x:v>presion_superficie_kPa</x:v>
      </x:c>
      <x:c r="D26" s="60" t="n">
        <x:v>319</x:v>
      </x:c>
      <x:c r="E26" s="16" t="str">
        <x:v>2000-01</x:v>
      </x:c>
      <x:c r="F26" s="16" t="str">
        <x:v>2026-07</x:v>
      </x:c>
      <x:c r="G26" s="56" t="n">
        <x:v>38.11194</x:v>
      </x:c>
      <x:c r="H26" s="16" t="str">
        <x:v>2016-02</x:v>
      </x:c>
      <x:c r="I26" s="58" t="n">
        <x:v>0.001</x:v>
      </x:c>
      <x:c r="J26" s="58" t="n">
        <x:v>0.00442</x:v>
      </x:c>
      <x:c r="K26" s="58" t="n">
        <x:v>0.0001840332143454511</x:v>
      </x:c>
      <x:c r="L26" s="16" t="str">
        <x:v>2015-12</x:v>
      </x:c>
      <x:c r="M26" s="16" t="str">
        <x:f>IF(ISNUMBER(J26),IF(J26&lt;0.05,"ALERTA ESTADÍSTICA","SIN ALERTA"),"NO EVALUABLE")</x:f>
        <x:v>ALERTA ESTADÍSTICA</x:v>
      </x:c>
    </x:row>
    <x:row r="27" ht="20" customHeight="1">
      <x:c r="A27" s="16" t="str">
        <x:v>NASA POWER</x:v>
      </x:c>
      <x:c r="B27" s="16" t="str">
        <x:v>La Paz</x:v>
      </x:c>
      <x:c r="C27" s="16" t="str">
        <x:v>radiacion_solar_kWh_m2_dia</x:v>
      </x:c>
      <x:c r="D27" s="60" t="n">
        <x:v>319</x:v>
      </x:c>
      <x:c r="E27" s="16" t="str">
        <x:v>2000-01</x:v>
      </x:c>
      <x:c r="F27" s="16" t="str">
        <x:v>2026-07</x:v>
      </x:c>
      <x:c r="G27" s="56" t="n">
        <x:v>7.45607</x:v>
      </x:c>
      <x:c r="H27" s="16" t="str">
        <x:v>2022-01</x:v>
      </x:c>
      <x:c r="I27" s="58" t="n">
        <x:v>0.622</x:v>
      </x:c>
      <x:c r="J27" s="58" t="n">
        <x:v>0.67278</x:v>
      </x:c>
      <x:c r="K27" s="58" t="n">
        <x:v>0.5225268517453628</x:v>
      </x:c>
      <x:c r="L27" s="16"/>
      <x:c r="M27" s="16" t="str">
        <x:f>IF(ISNUMBER(J27),IF(J27&lt;0.05,"ALERTA ESTADÍSTICA","SIN ALERTA"),"NO EVALUABLE")</x:f>
        <x:v>SIN ALERTA</x:v>
      </x:c>
    </x:row>
    <x:row r="28" ht="20" customHeight="1">
      <x:c r="A28" s="16" t="str">
        <x:v>NASA POWER</x:v>
      </x:c>
      <x:c r="B28" s="16" t="str">
        <x:v>Leticia</x:v>
      </x:c>
      <x:c r="C28" s="16" t="str">
        <x:v>precipitacion_mm_dia</x:v>
      </x:c>
      <x:c r="D28" s="60" t="n">
        <x:v>319</x:v>
      </x:c>
      <x:c r="E28" s="16" t="str">
        <x:v>2000-01</x:v>
      </x:c>
      <x:c r="F28" s="16" t="str">
        <x:v>2026-07</x:v>
      </x:c>
      <x:c r="G28" s="56" t="n">
        <x:v>8.99088</x:v>
      </x:c>
      <x:c r="H28" s="16" t="str">
        <x:v>2007-08</x:v>
      </x:c>
      <x:c r="I28" s="58" t="n">
        <x:v>0.31</x:v>
      </x:c>
      <x:c r="J28" s="58" t="n">
        <x:v>0.37341</x:v>
      </x:c>
      <x:c r="K28" s="58" t="n">
        <x:v>0.2705450000869135</x:v>
      </x:c>
      <x:c r="L28" s="16"/>
      <x:c r="M28" s="16" t="str">
        <x:f>IF(ISNUMBER(J28),IF(J28&lt;0.05,"ALERTA ESTADÍSTICA","SIN ALERTA"),"NO EVALUABLE")</x:f>
        <x:v>SIN ALERTA</x:v>
      </x:c>
    </x:row>
    <x:row r="29" ht="20" customHeight="1">
      <x:c r="A29" s="16" t="str">
        <x:v>NASA POWER</x:v>
      </x:c>
      <x:c r="B29" s="16" t="str">
        <x:v>Leticia</x:v>
      </x:c>
      <x:c r="C29" s="16" t="str">
        <x:v>temperatura_media_C</x:v>
      </x:c>
      <x:c r="D29" s="60" t="n">
        <x:v>319</x:v>
      </x:c>
      <x:c r="E29" s="16" t="str">
        <x:v>2000-01</x:v>
      </x:c>
      <x:c r="F29" s="16" t="str">
        <x:v>2026-07</x:v>
      </x:c>
      <x:c r="G29" s="56" t="n">
        <x:v>76.44591</x:v>
      </x:c>
      <x:c r="H29" s="16" t="str">
        <x:v>2023-06</x:v>
      </x:c>
      <x:c r="I29" s="58" t="n">
        <x:v>0.015</x:v>
      </x:c>
      <x:c r="J29" s="58" t="n">
        <x:v>0.0318</x:v>
      </x:c>
      <x:c r="K29" s="58" t="n">
        <x:v>6.821497379932989e-11</x:v>
      </x:c>
      <x:c r="L29" s="16" t="str">
        <x:v>2014-08</x:v>
      </x:c>
      <x:c r="M29" s="16" t="str">
        <x:f>IF(ISNUMBER(J29),IF(J29&lt;0.05,"ALERTA ESTADÍSTICA","SIN ALERTA"),"NO EVALUABLE")</x:f>
        <x:v>ALERTA ESTADÍSTICA</x:v>
      </x:c>
    </x:row>
    <x:row r="30" ht="20" customHeight="1">
      <x:c r="A30" s="16" t="str">
        <x:v>NASA POWER</x:v>
      </x:c>
      <x:c r="B30" s="16" t="str">
        <x:v>Leticia</x:v>
      </x:c>
      <x:c r="C30" s="16" t="str">
        <x:v>temperatura_maxima_C</x:v>
      </x:c>
      <x:c r="D30" s="60" t="n">
        <x:v>319</x:v>
      </x:c>
      <x:c r="E30" s="16" t="str">
        <x:v>2000-01</x:v>
      </x:c>
      <x:c r="F30" s="16" t="str">
        <x:v>2026-07</x:v>
      </x:c>
      <x:c r="G30" s="56" t="n">
        <x:v>70.60736</x:v>
      </x:c>
      <x:c r="H30" s="16" t="str">
        <x:v>2023-06</x:v>
      </x:c>
      <x:c r="I30" s="58" t="n">
        <x:v>0.03</x:v>
      </x:c>
      <x:c r="J30" s="58" t="n">
        <x:v>0.05679</x:v>
      </x:c>
      <x:c r="K30" s="58" t="n">
        <x:v>1.87285804606657e-9</x:v>
      </x:c>
      <x:c r="L30" s="16" t="str">
        <x:v>2014-07</x:v>
      </x:c>
      <x:c r="M30" s="16" t="str">
        <x:f>IF(ISNUMBER(J30),IF(J30&lt;0.05,"ALERTA ESTADÍSTICA","SIN ALERTA"),"NO EVALUABLE")</x:f>
        <x:v>SIN ALERTA</x:v>
      </x:c>
    </x:row>
    <x:row r="31" ht="20" customHeight="1">
      <x:c r="A31" s="16" t="str">
        <x:v>NASA POWER</x:v>
      </x:c>
      <x:c r="B31" s="16" t="str">
        <x:v>Leticia</x:v>
      </x:c>
      <x:c r="C31" s="16" t="str">
        <x:v>temperatura_minima_C</x:v>
      </x:c>
      <x:c r="D31" s="60" t="n">
        <x:v>319</x:v>
      </x:c>
      <x:c r="E31" s="16" t="str">
        <x:v>2000-01</x:v>
      </x:c>
      <x:c r="F31" s="16" t="str">
        <x:v>2026-07</x:v>
      </x:c>
      <x:c r="G31" s="56" t="n">
        <x:v>79.87826</x:v>
      </x:c>
      <x:c r="H31" s="16" t="str">
        <x:v>2014-03</x:v>
      </x:c>
      <x:c r="I31" s="58" t="n">
        <x:v>0.002</x:v>
      </x:c>
      <x:c r="J31" s="58" t="n">
        <x:v>0.00707</x:v>
      </x:c>
      <x:c r="K31" s="58" t="n">
        <x:v>5.645303825513842e-13</x:v>
      </x:c>
      <x:c r="L31" s="16" t="str">
        <x:v>2012-10</x:v>
      </x:c>
      <x:c r="M31" s="16" t="str">
        <x:f>IF(ISNUMBER(J31),IF(J31&lt;0.05,"ALERTA ESTADÍSTICA","SIN ALERTA"),"NO EVALUABLE")</x:f>
        <x:v>ALERTA ESTADÍSTICA</x:v>
      </x:c>
    </x:row>
    <x:row r="32" ht="20" customHeight="1">
      <x:c r="A32" s="16" t="str">
        <x:v>NASA POWER</x:v>
      </x:c>
      <x:c r="B32" s="16" t="str">
        <x:v>Leticia</x:v>
      </x:c>
      <x:c r="C32" s="16" t="str">
        <x:v>humedad_relativa_pct</x:v>
      </x:c>
      <x:c r="D32" s="60" t="n">
        <x:v>319</x:v>
      </x:c>
      <x:c r="E32" s="16" t="str">
        <x:v>2000-01</x:v>
      </x:c>
      <x:c r="F32" s="16" t="str">
        <x:v>2026-07</x:v>
      </x:c>
      <x:c r="G32" s="56" t="n">
        <x:v>29.6407</x:v>
      </x:c>
      <x:c r="H32" s="16" t="str">
        <x:v>2007-06</x:v>
      </x:c>
      <x:c r="I32" s="58" t="n">
        <x:v>0.148</x:v>
      </x:c>
      <x:c r="J32" s="58" t="n">
        <x:v>0.21789</x:v>
      </x:c>
      <x:c r="K32" s="58" t="n">
        <x:v>0.01520433474900111</x:v>
      </x:c>
      <x:c r="L32" s="16" t="str">
        <x:v>2007-10</x:v>
      </x:c>
      <x:c r="M32" s="16" t="str">
        <x:f>IF(ISNUMBER(J32),IF(J32&lt;0.05,"ALERTA ESTADÍSTICA","SIN ALERTA"),"NO EVALUABLE")</x:f>
        <x:v>SIN ALERTA</x:v>
      </x:c>
    </x:row>
    <x:row r="33" ht="20" customHeight="1">
      <x:c r="A33" s="16" t="str">
        <x:v>NASA POWER</x:v>
      </x:c>
      <x:c r="B33" s="16" t="str">
        <x:v>Leticia</x:v>
      </x:c>
      <x:c r="C33" s="16" t="str">
        <x:v>viento_2m_m_s</x:v>
      </x:c>
      <x:c r="D33" s="60" t="n">
        <x:v>319</x:v>
      </x:c>
      <x:c r="E33" s="16" t="str">
        <x:v>2000-01</x:v>
      </x:c>
      <x:c r="F33" s="16" t="str">
        <x:v>2026-07</x:v>
      </x:c>
      <x:c r="G33" s="56" t="n">
        <x:v>73.54335</x:v>
      </x:c>
      <x:c r="H33" s="16" t="str">
        <x:v>2008-02</x:v>
      </x:c>
      <x:c r="I33" s="58" t="n">
        <x:v>0.001</x:v>
      </x:c>
      <x:c r="J33" s="58" t="n">
        <x:v>0.00442</x:v>
      </x:c>
      <x:c r="K33" s="58" t="n">
        <x:v>4.035157688451569e-7</x:v>
      </x:c>
      <x:c r="L33" s="16" t="str">
        <x:v>2009-09</x:v>
      </x:c>
      <x:c r="M33" s="16" t="str">
        <x:f>IF(ISNUMBER(J33),IF(J33&lt;0.05,"ALERTA ESTADÍSTICA","SIN ALERTA"),"NO EVALUABLE")</x:f>
        <x:v>ALERTA ESTADÍSTICA</x:v>
      </x:c>
    </x:row>
    <x:row r="34" ht="20" customHeight="1">
      <x:c r="A34" s="16" t="str">
        <x:v>NASA POWER</x:v>
      </x:c>
      <x:c r="B34" s="16" t="str">
        <x:v>Leticia</x:v>
      </x:c>
      <x:c r="C34" s="16" t="str">
        <x:v>presion_superficie_kPa</x:v>
      </x:c>
      <x:c r="D34" s="60" t="n">
        <x:v>319</x:v>
      </x:c>
      <x:c r="E34" s="16" t="str">
        <x:v>2000-01</x:v>
      </x:c>
      <x:c r="F34" s="16" t="str">
        <x:v>2026-07</x:v>
      </x:c>
      <x:c r="G34" s="56" t="n">
        <x:v>22.41022</x:v>
      </x:c>
      <x:c r="H34" s="16" t="str">
        <x:v>2004-11</x:v>
      </x:c>
      <x:c r="I34" s="58" t="n">
        <x:v>0.034</x:v>
      </x:c>
      <x:c r="J34" s="58" t="n">
        <x:v>0.06214</x:v>
      </x:c>
      <x:c r="K34" s="58" t="n">
        <x:v>0.4510741903533706</x:v>
      </x:c>
      <x:c r="L34" s="16"/>
      <x:c r="M34" s="16" t="str">
        <x:f>IF(ISNUMBER(J34),IF(J34&lt;0.05,"ALERTA ESTADÍSTICA","SIN ALERTA"),"NO EVALUABLE")</x:f>
        <x:v>SIN ALERTA</x:v>
      </x:c>
    </x:row>
    <x:row r="35" ht="20" customHeight="1">
      <x:c r="A35" s="16" t="str">
        <x:v>NASA POWER</x:v>
      </x:c>
      <x:c r="B35" s="16" t="str">
        <x:v>Leticia</x:v>
      </x:c>
      <x:c r="C35" s="16" t="str">
        <x:v>radiacion_solar_kWh_m2_dia</x:v>
      </x:c>
      <x:c r="D35" s="60" t="n">
        <x:v>319</x:v>
      </x:c>
      <x:c r="E35" s="16" t="str">
        <x:v>2000-01</x:v>
      </x:c>
      <x:c r="F35" s="16" t="str">
        <x:v>2026-07</x:v>
      </x:c>
      <x:c r="G35" s="56" t="n">
        <x:v>9.71232</x:v>
      </x:c>
      <x:c r="H35" s="16" t="str">
        <x:v>2008-06</x:v>
      </x:c>
      <x:c r="I35" s="58" t="n">
        <x:v>0.014</x:v>
      </x:c>
      <x:c r="J35" s="58" t="n">
        <x:v>0.03092</x:v>
      </x:c>
      <x:c r="K35" s="58" t="n">
        <x:v>0.2485834222946586</x:v>
      </x:c>
      <x:c r="L35" s="16"/>
      <x:c r="M35" s="16" t="str">
        <x:f>IF(ISNUMBER(J35),IF(J35&lt;0.05,"ALERTA ESTADÍSTICA","SIN ALERTA"),"NO EVALUABLE")</x:f>
        <x:v>ALERTA ESTADÍSTICA</x:v>
      </x:c>
    </x:row>
    <x:row r="36" ht="20" customHeight="1">
      <x:c r="A36" s="16" t="str">
        <x:v>NASA POWER</x:v>
      </x:c>
      <x:c r="B36" s="16" t="str">
        <x:v>Medellín</x:v>
      </x:c>
      <x:c r="C36" s="16" t="str">
        <x:v>precipitacion_mm_dia</x:v>
      </x:c>
      <x:c r="D36" s="60" t="n">
        <x:v>320</x:v>
      </x:c>
      <x:c r="E36" s="16" t="str">
        <x:v>2000-01</x:v>
      </x:c>
      <x:c r="F36" s="16" t="str">
        <x:v>2026-08</x:v>
      </x:c>
      <x:c r="G36" s="56" t="n">
        <x:v>7.68977</x:v>
      </x:c>
      <x:c r="H36" s="16" t="str">
        <x:v>2003-10</x:v>
      </x:c>
      <x:c r="I36" s="58" t="n">
        <x:v>0.809</x:v>
      </x:c>
      <x:c r="J36" s="58" t="n">
        <x:v>0.82456</x:v>
      </x:c>
      <x:c r="K36" s="58" t="n">
        <x:v>0.03689480640697676</x:v>
      </x:c>
      <x:c r="L36" s="16" t="str">
        <x:v>2014-12</x:v>
      </x:c>
      <x:c r="M36" s="16" t="str">
        <x:f>IF(ISNUMBER(J36),IF(J36&lt;0.05,"ALERTA ESTADÍSTICA","SIN ALERTA"),"NO EVALUABLE")</x:f>
        <x:v>SIN ALERTA</x:v>
      </x:c>
    </x:row>
    <x:row r="37" ht="20" customHeight="1">
      <x:c r="A37" s="16" t="str">
        <x:v>NASA POWER</x:v>
      </x:c>
      <x:c r="B37" s="16" t="str">
        <x:v>Medellín</x:v>
      </x:c>
      <x:c r="C37" s="16" t="str">
        <x:v>temperatura_media_C</x:v>
      </x:c>
      <x:c r="D37" s="60" t="n">
        <x:v>320</x:v>
      </x:c>
      <x:c r="E37" s="16" t="str">
        <x:v>2000-01</x:v>
      </x:c>
      <x:c r="F37" s="16" t="str">
        <x:v>2026-08</x:v>
      </x:c>
      <x:c r="G37" s="56" t="n">
        <x:v>86.31999</x:v>
      </x:c>
      <x:c r="H37" s="16" t="str">
        <x:v>2015-03</x:v>
      </x:c>
      <x:c r="I37" s="58" t="n">
        <x:v>0.002</x:v>
      </x:c>
      <x:c r="J37" s="58" t="n">
        <x:v>0.00707</x:v>
      </x:c>
      <x:c r="K37" s="58" t="n">
        <x:v>3.010666665666447e-13</x:v>
      </x:c>
      <x:c r="L37" s="16" t="str">
        <x:v>2014-02</x:v>
      </x:c>
      <x:c r="M37" s="16" t="str">
        <x:f>IF(ISNUMBER(J37),IF(J37&lt;0.05,"ALERTA ESTADÍSTICA","SIN ALERTA"),"NO EVALUABLE")</x:f>
        <x:v>ALERTA ESTADÍSTICA</x:v>
      </x:c>
    </x:row>
    <x:row r="38" ht="20" customHeight="1">
      <x:c r="A38" s="16" t="str">
        <x:v>NASA POWER</x:v>
      </x:c>
      <x:c r="B38" s="16" t="str">
        <x:v>Medellín</x:v>
      </x:c>
      <x:c r="C38" s="16" t="str">
        <x:v>temperatura_maxima_C</x:v>
      </x:c>
      <x:c r="D38" s="60" t="n">
        <x:v>320</x:v>
      </x:c>
      <x:c r="E38" s="16" t="str">
        <x:v>2000-01</x:v>
      </x:c>
      <x:c r="F38" s="16" t="str">
        <x:v>2026-08</x:v>
      </x:c>
      <x:c r="G38" s="56" t="n">
        <x:v>75.80877</x:v>
      </x:c>
      <x:c r="H38" s="16" t="str">
        <x:v>2015-03</x:v>
      </x:c>
      <x:c r="I38" s="58" t="n">
        <x:v>0.001</x:v>
      </x:c>
      <x:c r="J38" s="58" t="n">
        <x:v>0.00442</x:v>
      </x:c>
      <x:c r="K38" s="58" t="n">
        <x:v>3.417314480606801e-10</x:v>
      </x:c>
      <x:c r="L38" s="16" t="str">
        <x:v>2014-12</x:v>
      </x:c>
      <x:c r="M38" s="16" t="str">
        <x:f>IF(ISNUMBER(J38),IF(J38&lt;0.05,"ALERTA ESTADÍSTICA","SIN ALERTA"),"NO EVALUABLE")</x:f>
        <x:v>ALERTA ESTADÍSTICA</x:v>
      </x:c>
    </x:row>
    <x:row r="39" ht="20" customHeight="1">
      <x:c r="A39" s="16" t="str">
        <x:v>NASA POWER</x:v>
      </x:c>
      <x:c r="B39" s="16" t="str">
        <x:v>Medellín</x:v>
      </x:c>
      <x:c r="C39" s="16" t="str">
        <x:v>temperatura_minima_C</x:v>
      </x:c>
      <x:c r="D39" s="60" t="n">
        <x:v>320</x:v>
      </x:c>
      <x:c r="E39" s="16" t="str">
        <x:v>2000-01</x:v>
      </x:c>
      <x:c r="F39" s="16" t="str">
        <x:v>2026-08</x:v>
      </x:c>
      <x:c r="G39" s="56" t="n">
        <x:v>95.23995</x:v>
      </x:c>
      <x:c r="H39" s="16" t="str">
        <x:v>2023-04</x:v>
      </x:c>
      <x:c r="I39" s="58" t="n">
        <x:v>0.001</x:v>
      </x:c>
      <x:c r="J39" s="58" t="n">
        <x:v>0.00442</x:v>
      </x:c>
      <x:c r="K39" s="58" t="n">
        <x:v>6.126340067841428e-10</x:v>
      </x:c>
      <x:c r="L39" s="16" t="str">
        <x:v>2013-02</x:v>
      </x:c>
      <x:c r="M39" s="16" t="str">
        <x:f>IF(ISNUMBER(J39),IF(J39&lt;0.05,"ALERTA ESTADÍSTICA","SIN ALERTA"),"NO EVALUABLE")</x:f>
        <x:v>ALERTA ESTADÍSTICA</x:v>
      </x:c>
    </x:row>
    <x:row r="40" ht="20" customHeight="1">
      <x:c r="A40" s="16" t="str">
        <x:v>NASA POWER</x:v>
      </x:c>
      <x:c r="B40" s="16" t="str">
        <x:v>Medellín</x:v>
      </x:c>
      <x:c r="C40" s="16" t="str">
        <x:v>humedad_relativa_pct</x:v>
      </x:c>
      <x:c r="D40" s="60" t="n">
        <x:v>320</x:v>
      </x:c>
      <x:c r="E40" s="16" t="str">
        <x:v>2000-01</x:v>
      </x:c>
      <x:c r="F40" s="16" t="str">
        <x:v>2026-08</x:v>
      </x:c>
      <x:c r="G40" s="56" t="n">
        <x:v>16.72991</x:v>
      </x:c>
      <x:c r="H40" s="16" t="str">
        <x:v>2015-04</x:v>
      </x:c>
      <x:c r="I40" s="58" t="n">
        <x:v>0.354</x:v>
      </x:c>
      <x:c r="J40" s="58" t="n">
        <x:v>0.40787</x:v>
      </x:c>
      <x:c r="K40" s="58" t="n">
        <x:v>0.06864637441278564</x:v>
      </x:c>
      <x:c r="L40" s="16"/>
      <x:c r="M40" s="16" t="str">
        <x:f>IF(ISNUMBER(J40),IF(J40&lt;0.05,"ALERTA ESTADÍSTICA","SIN ALERTA"),"NO EVALUABLE")</x:f>
        <x:v>SIN ALERTA</x:v>
      </x:c>
    </x:row>
    <x:row r="41" ht="20" customHeight="1">
      <x:c r="A41" s="16" t="str">
        <x:v>NASA POWER</x:v>
      </x:c>
      <x:c r="B41" s="16" t="str">
        <x:v>Medellín</x:v>
      </x:c>
      <x:c r="C41" s="16" t="str">
        <x:v>viento_2m_m_s</x:v>
      </x:c>
      <x:c r="D41" s="60" t="n">
        <x:v>320</x:v>
      </x:c>
      <x:c r="E41" s="16" t="str">
        <x:v>2000-01</x:v>
      </x:c>
      <x:c r="F41" s="16" t="str">
        <x:v>2026-08</x:v>
      </x:c>
      <x:c r="G41" s="56" t="n">
        <x:v>26.67518</x:v>
      </x:c>
      <x:c r="H41" s="16" t="str">
        <x:v>2018-11</x:v>
      </x:c>
      <x:c r="I41" s="58" t="n">
        <x:v>0.011</x:v>
      </x:c>
      <x:c r="J41" s="58" t="n">
        <x:v>0.0265</x:v>
      </x:c>
      <x:c r="K41" s="58" t="n">
        <x:v>0.000497276042609195</x:v>
      </x:c>
      <x:c r="L41" s="16" t="str">
        <x:v>2014-12</x:v>
      </x:c>
      <x:c r="M41" s="16" t="str">
        <x:f>IF(ISNUMBER(J41),IF(J41&lt;0.05,"ALERTA ESTADÍSTICA","SIN ALERTA"),"NO EVALUABLE")</x:f>
        <x:v>ALERTA ESTADÍSTICA</x:v>
      </x:c>
    </x:row>
    <x:row r="42" ht="20" customHeight="1">
      <x:c r="A42" s="16" t="str">
        <x:v>NASA POWER</x:v>
      </x:c>
      <x:c r="B42" s="16" t="str">
        <x:v>Medellín</x:v>
      </x:c>
      <x:c r="C42" s="16" t="str">
        <x:v>presion_superficie_kPa</x:v>
      </x:c>
      <x:c r="D42" s="60" t="n">
        <x:v>320</x:v>
      </x:c>
      <x:c r="E42" s="16" t="str">
        <x:v>2000-01</x:v>
      </x:c>
      <x:c r="F42" s="16" t="str">
        <x:v>2026-08</x:v>
      </x:c>
      <x:c r="G42" s="56" t="n">
        <x:v>72.36494</x:v>
      </x:c>
      <x:c r="H42" s="16" t="str">
        <x:v>2015-09</x:v>
      </x:c>
      <x:c r="I42" s="58" t="n">
        <x:v>0.001</x:v>
      </x:c>
      <x:c r="J42" s="58" t="n">
        <x:v>0.00442</x:v>
      </x:c>
      <x:c r="K42" s="58" t="n">
        <x:v>0.000003411811756120524</x:v>
      </x:c>
      <x:c r="L42" s="16" t="str">
        <x:v>2014-04</x:v>
      </x:c>
      <x:c r="M42" s="16" t="str">
        <x:f>IF(ISNUMBER(J42),IF(J42&lt;0.05,"ALERTA ESTADÍSTICA","SIN ALERTA"),"NO EVALUABLE")</x:f>
        <x:v>ALERTA ESTADÍSTICA</x:v>
      </x:c>
    </x:row>
    <x:row r="43" ht="20" customHeight="1">
      <x:c r="A43" s="16" t="str">
        <x:v>NASA POWER</x:v>
      </x:c>
      <x:c r="B43" s="16" t="str">
        <x:v>Medellín</x:v>
      </x:c>
      <x:c r="C43" s="16" t="str">
        <x:v>radiacion_solar_kWh_m2_dia</x:v>
      </x:c>
      <x:c r="D43" s="60" t="n">
        <x:v>320</x:v>
      </x:c>
      <x:c r="E43" s="16" t="str">
        <x:v>2000-01</x:v>
      </x:c>
      <x:c r="F43" s="16" t="str">
        <x:v>2026-08</x:v>
      </x:c>
      <x:c r="G43" s="56" t="n">
        <x:v>3.07822</x:v>
      </x:c>
      <x:c r="H43" s="16" t="str">
        <x:v>2021-05</x:v>
      </x:c>
      <x:c r="I43" s="58" t="n">
        <x:v>0.92</x:v>
      </x:c>
      <x:c r="J43" s="58" t="n">
        <x:v>0.92</x:v>
      </x:c>
      <x:c r="K43" s="58" t="n">
        <x:v>1</x:v>
      </x:c>
      <x:c r="L43" s="16"/>
      <x:c r="M43" s="16" t="str">
        <x:f>IF(ISNUMBER(J43),IF(J43&lt;0.05,"ALERTA ESTADÍSTICA","SIN ALERTA"),"NO EVALUABLE")</x:f>
        <x:v>SIN ALERTA</x:v>
      </x:c>
    </x:row>
    <x:row r="44" ht="20" customHeight="1">
      <x:c r="A44" s="16" t="str">
        <x:v>NASA POWER</x:v>
      </x:c>
      <x:c r="B44" s="16" t="str">
        <x:v>San Andres</x:v>
      </x:c>
      <x:c r="C44" s="16" t="str">
        <x:v>precipitacion_mm_dia</x:v>
      </x:c>
      <x:c r="D44" s="60" t="n">
        <x:v>320</x:v>
      </x:c>
      <x:c r="E44" s="16" t="str">
        <x:v>2000-01</x:v>
      </x:c>
      <x:c r="F44" s="16" t="str">
        <x:v>2026-08</x:v>
      </x:c>
      <x:c r="G44" s="56" t="n">
        <x:v>8.71486</x:v>
      </x:c>
      <x:c r="H44" s="16" t="str">
        <x:v>2013-10</x:v>
      </x:c>
      <x:c r="I44" s="58" t="n">
        <x:v>0.258</x:v>
      </x:c>
      <x:c r="J44" s="58" t="n">
        <x:v>0.32936</x:v>
      </x:c>
      <x:c r="K44" s="58" t="n">
        <x:v>0.5353951544694097</x:v>
      </x:c>
      <x:c r="L44" s="16"/>
      <x:c r="M44" s="16" t="str">
        <x:f>IF(ISNUMBER(J44),IF(J44&lt;0.05,"ALERTA ESTADÍSTICA","SIN ALERTA"),"NO EVALUABLE")</x:f>
        <x:v>SIN ALERTA</x:v>
      </x:c>
    </x:row>
    <x:row r="45" ht="20" customHeight="1">
      <x:c r="A45" s="16" t="str">
        <x:v>NASA POWER</x:v>
      </x:c>
      <x:c r="B45" s="16" t="str">
        <x:v>San Andres</x:v>
      </x:c>
      <x:c r="C45" s="16" t="str">
        <x:v>temperatura_media_C</x:v>
      </x:c>
      <x:c r="D45" s="60" t="n">
        <x:v>320</x:v>
      </x:c>
      <x:c r="E45" s="16" t="str">
        <x:v>2000-01</x:v>
      </x:c>
      <x:c r="F45" s="16" t="str">
        <x:v>2026-08</x:v>
      </x:c>
      <x:c r="G45" s="56" t="n">
        <x:v>125.38567</x:v>
      </x:c>
      <x:c r="H45" s="16" t="str">
        <x:v>2023-04</x:v>
      </x:c>
      <x:c r="I45" s="58" t="n">
        <x:v>0.001</x:v>
      </x:c>
      <x:c r="J45" s="58" t="n">
        <x:v>0.00442</x:v>
      </x:c>
      <x:c r="K45" s="58" t="n">
        <x:v>5.972466259649528e-9</x:v>
      </x:c>
      <x:c r="L45" s="16" t="str">
        <x:v>2015-07</x:v>
      </x:c>
      <x:c r="M45" s="16" t="str">
        <x:f>IF(ISNUMBER(J45),IF(J45&lt;0.05,"ALERTA ESTADÍSTICA","SIN ALERTA"),"NO EVALUABLE")</x:f>
        <x:v>ALERTA ESTADÍSTICA</x:v>
      </x:c>
    </x:row>
    <x:row r="46" ht="20" customHeight="1">
      <x:c r="A46" s="16" t="str">
        <x:v>NASA POWER</x:v>
      </x:c>
      <x:c r="B46" s="16" t="str">
        <x:v>San Andres</x:v>
      </x:c>
      <x:c r="C46" s="16" t="str">
        <x:v>temperatura_maxima_C</x:v>
      </x:c>
      <x:c r="D46" s="60" t="n">
        <x:v>320</x:v>
      </x:c>
      <x:c r="E46" s="16" t="str">
        <x:v>2000-01</x:v>
      </x:c>
      <x:c r="F46" s="16" t="str">
        <x:v>2026-08</x:v>
      </x:c>
      <x:c r="G46" s="56" t="n">
        <x:v>125.05605</x:v>
      </x:c>
      <x:c r="H46" s="16" t="str">
        <x:v>2023-04</x:v>
      </x:c>
      <x:c r="I46" s="58" t="n">
        <x:v>0.001</x:v>
      </x:c>
      <x:c r="J46" s="58" t="n">
        <x:v>0.00442</x:v>
      </x:c>
      <x:c r="K46" s="58" t="n">
        <x:v>4.549967500126942e-8</x:v>
      </x:c>
      <x:c r="L46" s="16" t="str">
        <x:v>2015-07</x:v>
      </x:c>
      <x:c r="M46" s="16" t="str">
        <x:f>IF(ISNUMBER(J46),IF(J46&lt;0.05,"ALERTA ESTADÍSTICA","SIN ALERTA"),"NO EVALUABLE")</x:f>
        <x:v>ALERTA ESTADÍSTICA</x:v>
      </x:c>
    </x:row>
    <x:row r="47" ht="20" customHeight="1">
      <x:c r="A47" s="16" t="str">
        <x:v>NASA POWER</x:v>
      </x:c>
      <x:c r="B47" s="16" t="str">
        <x:v>San Andres</x:v>
      </x:c>
      <x:c r="C47" s="16" t="str">
        <x:v>temperatura_minima_C</x:v>
      </x:c>
      <x:c r="D47" s="60" t="n">
        <x:v>320</x:v>
      </x:c>
      <x:c r="E47" s="16" t="str">
        <x:v>2000-01</x:v>
      </x:c>
      <x:c r="F47" s="16" t="str">
        <x:v>2026-08</x:v>
      </x:c>
      <x:c r="G47" s="56" t="n">
        <x:v>122.25397</x:v>
      </x:c>
      <x:c r="H47" s="16" t="str">
        <x:v>2023-04</x:v>
      </x:c>
      <x:c r="I47" s="58" t="n">
        <x:v>0.001</x:v>
      </x:c>
      <x:c r="J47" s="58" t="n">
        <x:v>0.00442</x:v>
      </x:c>
      <x:c r="K47" s="58" t="n">
        <x:v>1.909197481176661e-9</x:v>
      </x:c>
      <x:c r="L47" s="16" t="str">
        <x:v>2015-07</x:v>
      </x:c>
      <x:c r="M47" s="16" t="str">
        <x:f>IF(ISNUMBER(J47),IF(J47&lt;0.05,"ALERTA ESTADÍSTICA","SIN ALERTA"),"NO EVALUABLE")</x:f>
        <x:v>ALERTA ESTADÍSTICA</x:v>
      </x:c>
    </x:row>
    <x:row r="48" ht="20" customHeight="1">
      <x:c r="A48" s="16" t="str">
        <x:v>NASA POWER</x:v>
      </x:c>
      <x:c r="B48" s="16" t="str">
        <x:v>San Andres</x:v>
      </x:c>
      <x:c r="C48" s="16" t="str">
        <x:v>humedad_relativa_pct</x:v>
      </x:c>
      <x:c r="D48" s="60" t="n">
        <x:v>320</x:v>
      </x:c>
      <x:c r="E48" s="16" t="str">
        <x:v>2000-01</x:v>
      </x:c>
      <x:c r="F48" s="16" t="str">
        <x:v>2026-08</x:v>
      </x:c>
      <x:c r="G48" s="56" t="n">
        <x:v>2.98418</x:v>
      </x:c>
      <x:c r="H48" s="16" t="str">
        <x:v>2009-04</x:v>
      </x:c>
      <x:c r="I48" s="58" t="n">
        <x:v>0.78</x:v>
      </x:c>
      <x:c r="J48" s="58" t="n">
        <x:v>0.81059</x:v>
      </x:c>
      <x:c r="K48" s="58" t="n">
        <x:v>1</x:v>
      </x:c>
      <x:c r="L48" s="16"/>
      <x:c r="M48" s="16" t="str">
        <x:f>IF(ISNUMBER(J48),IF(J48&lt;0.05,"ALERTA ESTADÍSTICA","SIN ALERTA"),"NO EVALUABLE")</x:f>
        <x:v>SIN ALERTA</x:v>
      </x:c>
    </x:row>
    <x:row r="49" ht="20" customHeight="1">
      <x:c r="A49" s="16" t="str">
        <x:v>NASA POWER</x:v>
      </x:c>
      <x:c r="B49" s="16" t="str">
        <x:v>San Andres</x:v>
      </x:c>
      <x:c r="C49" s="16" t="str">
        <x:v>viento_2m_m_s</x:v>
      </x:c>
      <x:c r="D49" s="60" t="n">
        <x:v>320</x:v>
      </x:c>
      <x:c r="E49" s="16" t="str">
        <x:v>2000-01</x:v>
      </x:c>
      <x:c r="F49" s="16" t="str">
        <x:v>2026-08</x:v>
      </x:c>
      <x:c r="G49" s="56" t="n">
        <x:v>11.35818</x:v>
      </x:c>
      <x:c r="H49" s="16" t="str">
        <x:v>2019-09</x:v>
      </x:c>
      <x:c r="I49" s="58" t="n">
        <x:v>0.328</x:v>
      </x:c>
      <x:c r="J49" s="58" t="n">
        <x:v>0.38631</x:v>
      </x:c>
      <x:c r="K49" s="58" t="n">
        <x:v>0.5034502650738304</x:v>
      </x:c>
      <x:c r="L49" s="16"/>
      <x:c r="M49" s="16" t="str">
        <x:f>IF(ISNUMBER(J49),IF(J49&lt;0.05,"ALERTA ESTADÍSTICA","SIN ALERTA"),"NO EVALUABLE")</x:f>
        <x:v>SIN ALERTA</x:v>
      </x:c>
    </x:row>
    <x:row r="50" ht="20" customHeight="1">
      <x:c r="A50" s="16" t="str">
        <x:v>NASA POWER</x:v>
      </x:c>
      <x:c r="B50" s="16" t="str">
        <x:v>San Andres</x:v>
      </x:c>
      <x:c r="C50" s="16" t="str">
        <x:v>presion_superficie_kPa</x:v>
      </x:c>
      <x:c r="D50" s="60" t="n">
        <x:v>320</x:v>
      </x:c>
      <x:c r="E50" s="16" t="str">
        <x:v>2000-01</x:v>
      </x:c>
      <x:c r="F50" s="16" t="str">
        <x:v>2026-08</x:v>
      </x:c>
      <x:c r="G50" s="56" t="n">
        <x:v>11.19966</x:v>
      </x:c>
      <x:c r="H50" s="16" t="str">
        <x:v>2023-03</x:v>
      </x:c>
      <x:c r="I50" s="58" t="n">
        <x:v>0.302</x:v>
      </x:c>
      <x:c r="J50" s="58" t="n">
        <x:v>0.37223</x:v>
      </x:c>
      <x:c r="K50" s="58" t="n">
        <x:v>0.9294073610344437</x:v>
      </x:c>
      <x:c r="L50" s="16"/>
      <x:c r="M50" s="16" t="str">
        <x:f>IF(ISNUMBER(J50),IF(J50&lt;0.05,"ALERTA ESTADÍSTICA","SIN ALERTA"),"NO EVALUABLE")</x:f>
        <x:v>SIN ALERTA</x:v>
      </x:c>
    </x:row>
    <x:row r="51" ht="20" customHeight="1">
      <x:c r="A51" s="16" t="str">
        <x:v>NASA POWER</x:v>
      </x:c>
      <x:c r="B51" s="16" t="str">
        <x:v>San Andres</x:v>
      </x:c>
      <x:c r="C51" s="16" t="str">
        <x:v>radiacion_solar_kWh_m2_dia</x:v>
      </x:c>
      <x:c r="D51" s="60" t="n">
        <x:v>320</x:v>
      </x:c>
      <x:c r="E51" s="16" t="str">
        <x:v>2000-01</x:v>
      </x:c>
      <x:c r="F51" s="16" t="str">
        <x:v>2026-08</x:v>
      </x:c>
      <x:c r="G51" s="56" t="n">
        <x:v>12.06775</x:v>
      </x:c>
      <x:c r="H51" s="16" t="str">
        <x:v>2013-09</x:v>
      </x:c>
      <x:c r="I51" s="58" t="n">
        <x:v>0.094</x:v>
      </x:c>
      <x:c r="J51" s="58" t="n">
        <x:v>0.14234</x:v>
      </x:c>
      <x:c r="K51" s="58" t="n">
        <x:v>0.600133697489198</x:v>
      </x:c>
      <x:c r="L51" s="16"/>
      <x:c r="M51" s="16" t="str">
        <x:f>IF(ISNUMBER(J51),IF(J51&lt;0.05,"ALERTA ESTADÍSTICA","SIN ALERTA"),"NO EVALUABLE")</x:f>
        <x:v>SIN ALERTA</x:v>
      </x:c>
    </x:row>
    <x:row r="52" ht="20" customHeight="1">
      <x:c r="A52" s="16" t="str">
        <x:v>NASA POWER</x:v>
      </x:c>
      <x:c r="B52" s="16" t="str">
        <x:v>Tumaco</x:v>
      </x:c>
      <x:c r="C52" s="16" t="str">
        <x:v>precipitacion_mm_dia</x:v>
      </x:c>
      <x:c r="D52" s="60" t="n">
        <x:v>415</x:v>
      </x:c>
      <x:c r="E52" s="16" t="str">
        <x:v>1992-01</x:v>
      </x:c>
      <x:c r="F52" s="16" t="str">
        <x:v>2026-07</x:v>
      </x:c>
      <x:c r="G52" s="56" t="n">
        <x:v>58.65643</x:v>
      </x:c>
      <x:c r="H52" s="16" t="str">
        <x:v>2000-05</x:v>
      </x:c>
      <x:c r="I52" s="58" t="n">
        <x:v>0.006</x:v>
      </x:c>
      <x:c r="J52" s="58" t="n">
        <x:v>0.01767</x:v>
      </x:c>
      <x:c r="K52" s="58" t="n">
        <x:v>3.024681416535267e-7</x:v>
      </x:c>
      <x:c r="L52" s="16" t="str">
        <x:v>2004-05</x:v>
      </x:c>
      <x:c r="M52" s="16" t="str">
        <x:f>IF(ISNUMBER(J52),IF(J52&lt;0.05,"ALERTA ESTADÍSTICA","SIN ALERTA"),"NO EVALUABLE")</x:f>
        <x:v>ALERTA ESTADÍSTICA</x:v>
      </x:c>
    </x:row>
    <x:row r="53" ht="20" customHeight="1">
      <x:c r="A53" s="16" t="str">
        <x:v>NASA POWER</x:v>
      </x:c>
      <x:c r="B53" s="16" t="str">
        <x:v>Tumaco</x:v>
      </x:c>
      <x:c r="C53" s="16" t="str">
        <x:v>temperatura_media_C</x:v>
      </x:c>
      <x:c r="D53" s="60" t="n">
        <x:v>415</x:v>
      </x:c>
      <x:c r="E53" s="16" t="str">
        <x:v>1992-01</x:v>
      </x:c>
      <x:c r="F53" s="16" t="str">
        <x:v>2026-07</x:v>
      </x:c>
      <x:c r="G53" s="56" t="n">
        <x:v>146.00873</x:v>
      </x:c>
      <x:c r="H53" s="16" t="str">
        <x:v>2002-07</x:v>
      </x:c>
      <x:c r="I53" s="58" t="n">
        <x:v>0.001</x:v>
      </x:c>
      <x:c r="J53" s="58" t="n">
        <x:v>0.00442</x:v>
      </x:c>
      <x:c r="K53" s="58" t="n">
        <x:v>1.260036639395284e-29</x:v>
      </x:c>
      <x:c r="L53" s="16" t="str">
        <x:v>2006-06</x:v>
      </x:c>
      <x:c r="M53" s="16" t="str">
        <x:f>IF(ISNUMBER(J53),IF(J53&lt;0.05,"ALERTA ESTADÍSTICA","SIN ALERTA"),"NO EVALUABLE")</x:f>
        <x:v>ALERTA ESTADÍSTICA</x:v>
      </x:c>
    </x:row>
    <x:row r="54" ht="20" customHeight="1">
      <x:c r="A54" s="16" t="str">
        <x:v>NASA POWER</x:v>
      </x:c>
      <x:c r="B54" s="16" t="str">
        <x:v>Tumaco</x:v>
      </x:c>
      <x:c r="C54" s="16" t="str">
        <x:v>temperatura_maxima_C</x:v>
      </x:c>
      <x:c r="D54" s="60" t="n">
        <x:v>415</x:v>
      </x:c>
      <x:c r="E54" s="16" t="str">
        <x:v>1992-01</x:v>
      </x:c>
      <x:c r="F54" s="16" t="str">
        <x:v>2026-07</x:v>
      </x:c>
      <x:c r="G54" s="56" t="n">
        <x:v>162.28993</x:v>
      </x:c>
      <x:c r="H54" s="16" t="str">
        <x:v>2004-10</x:v>
      </x:c>
      <x:c r="I54" s="58" t="n">
        <x:v>0.001</x:v>
      </x:c>
      <x:c r="J54" s="58" t="n">
        <x:v>0.00442</x:v>
      </x:c>
      <x:c r="K54" s="58" t="n">
        <x:v>4.393746349480936e-25</x:v>
      </x:c>
      <x:c r="L54" s="16" t="str">
        <x:v>2004-07</x:v>
      </x:c>
      <x:c r="M54" s="16" t="str">
        <x:f>IF(ISNUMBER(J54),IF(J54&lt;0.05,"ALERTA ESTADÍSTICA","SIN ALERTA"),"NO EVALUABLE")</x:f>
        <x:v>ALERTA ESTADÍSTICA</x:v>
      </x:c>
    </x:row>
    <x:row r="55" ht="20" customHeight="1">
      <x:c r="A55" s="16" t="str">
        <x:v>NASA POWER</x:v>
      </x:c>
      <x:c r="B55" s="16" t="str">
        <x:v>Tumaco</x:v>
      </x:c>
      <x:c r="C55" s="16" t="str">
        <x:v>temperatura_minima_C</x:v>
      </x:c>
      <x:c r="D55" s="60" t="n">
        <x:v>415</x:v>
      </x:c>
      <x:c r="E55" s="16" t="str">
        <x:v>1992-01</x:v>
      </x:c>
      <x:c r="F55" s="16" t="str">
        <x:v>2026-07</x:v>
      </x:c>
      <x:c r="G55" s="56" t="n">
        <x:v>119.76289</x:v>
      </x:c>
      <x:c r="H55" s="16" t="str">
        <x:v>2013-08</x:v>
      </x:c>
      <x:c r="I55" s="58" t="n">
        <x:v>0.001</x:v>
      </x:c>
      <x:c r="J55" s="58" t="n">
        <x:v>0.00442</x:v>
      </x:c>
      <x:c r="K55" s="58" t="n">
        <x:v>1.374841376649089e-21</x:v>
      </x:c>
      <x:c r="L55" s="16" t="str">
        <x:v>2013-12</x:v>
      </x:c>
      <x:c r="M55" s="16" t="str">
        <x:f>IF(ISNUMBER(J55),IF(J55&lt;0.05,"ALERTA ESTADÍSTICA","SIN ALERTA"),"NO EVALUABLE")</x:f>
        <x:v>ALERTA ESTADÍSTICA</x:v>
      </x:c>
    </x:row>
    <x:row r="56" ht="20" customHeight="1">
      <x:c r="A56" s="16" t="str">
        <x:v>NASA POWER</x:v>
      </x:c>
      <x:c r="B56" s="16" t="str">
        <x:v>Tumaco</x:v>
      </x:c>
      <x:c r="C56" s="16" t="str">
        <x:v>humedad_relativa_pct</x:v>
      </x:c>
      <x:c r="D56" s="60" t="n">
        <x:v>415</x:v>
      </x:c>
      <x:c r="E56" s="16" t="str">
        <x:v>1992-01</x:v>
      </x:c>
      <x:c r="F56" s="16" t="str">
        <x:v>2026-07</x:v>
      </x:c>
      <x:c r="G56" s="56" t="n">
        <x:v>107.15052</x:v>
      </x:c>
      <x:c r="H56" s="16" t="str">
        <x:v>2004-11</x:v>
      </x:c>
      <x:c r="I56" s="58" t="n">
        <x:v>0.003</x:v>
      </x:c>
      <x:c r="J56" s="58" t="n">
        <x:v>0.00994</x:v>
      </x:c>
      <x:c r="K56" s="58" t="n">
        <x:v>1.630525464144493e-10</x:v>
      </x:c>
      <x:c r="L56" s="16" t="str">
        <x:v>2004-06</x:v>
      </x:c>
      <x:c r="M56" s="16" t="str">
        <x:f>IF(ISNUMBER(J56),IF(J56&lt;0.05,"ALERTA ESTADÍSTICA","SIN ALERTA"),"NO EVALUABLE")</x:f>
        <x:v>ALERTA ESTADÍSTICA</x:v>
      </x:c>
    </x:row>
    <x:row r="57" ht="20" customHeight="1">
      <x:c r="A57" s="16" t="str">
        <x:v>NASA POWER</x:v>
      </x:c>
      <x:c r="B57" s="16" t="str">
        <x:v>Tumaco</x:v>
      </x:c>
      <x:c r="C57" s="16" t="str">
        <x:v>viento_2m_m_s</x:v>
      </x:c>
      <x:c r="D57" s="60" t="n">
        <x:v>415</x:v>
      </x:c>
      <x:c r="E57" s="16" t="str">
        <x:v>1992-01</x:v>
      </x:c>
      <x:c r="F57" s="16" t="str">
        <x:v>2026-07</x:v>
      </x:c>
      <x:c r="G57" s="56" t="n">
        <x:v>47.88902</x:v>
      </x:c>
      <x:c r="H57" s="16" t="str">
        <x:v>2010-04</x:v>
      </x:c>
      <x:c r="I57" s="58" t="n">
        <x:v>0.011</x:v>
      </x:c>
      <x:c r="J57" s="58" t="n">
        <x:v>0.0265</x:v>
      </x:c>
      <x:c r="K57" s="58" t="n">
        <x:v>0.02755068139497691</x:v>
      </x:c>
      <x:c r="L57" s="16" t="str">
        <x:v>2010-01</x:v>
      </x:c>
      <x:c r="M57" s="16" t="str">
        <x:f>IF(ISNUMBER(J57),IF(J57&lt;0.05,"ALERTA ESTADÍSTICA","SIN ALERTA"),"NO EVALUABLE")</x:f>
        <x:v>ALERTA ESTADÍSTICA</x:v>
      </x:c>
    </x:row>
    <x:row r="58" ht="20" customHeight="1">
      <x:c r="A58" s="16" t="str">
        <x:v>NASA POWER</x:v>
      </x:c>
      <x:c r="B58" s="16" t="str">
        <x:v>Tumaco</x:v>
      </x:c>
      <x:c r="C58" s="16" t="str">
        <x:v>presion_superficie_kPa</x:v>
      </x:c>
      <x:c r="D58" s="60" t="n">
        <x:v>415</x:v>
      </x:c>
      <x:c r="E58" s="16" t="str">
        <x:v>1992-01</x:v>
      </x:c>
      <x:c r="F58" s="16" t="str">
        <x:v>2026-07</x:v>
      </x:c>
      <x:c r="G58" s="56" t="n">
        <x:v>21.56806</x:v>
      </x:c>
      <x:c r="H58" s="16" t="str">
        <x:v>2009-01</x:v>
      </x:c>
      <x:c r="I58" s="58" t="n">
        <x:v>0.156</x:v>
      </x:c>
      <x:c r="J58" s="58" t="n">
        <x:v>0.22346</x:v>
      </x:c>
      <x:c r="K58" s="58" t="n">
        <x:v>0.00005753152459846589</x:v>
      </x:c>
      <x:c r="L58" s="16" t="str">
        <x:v>2009-01</x:v>
      </x:c>
      <x:c r="M58" s="16" t="str">
        <x:f>IF(ISNUMBER(J58),IF(J58&lt;0.05,"ALERTA ESTADÍSTICA","SIN ALERTA"),"NO EVALUABLE")</x:f>
        <x:v>SIN ALERTA</x:v>
      </x:c>
    </x:row>
    <x:row r="59" ht="20" customHeight="1">
      <x:c r="A59" s="16" t="str">
        <x:v>NASA POWER</x:v>
      </x:c>
      <x:c r="B59" s="16" t="str">
        <x:v>Tumaco</x:v>
      </x:c>
      <x:c r="C59" s="16" t="str">
        <x:v>radiacion_solar_kWh_m2_dia</x:v>
      </x:c>
      <x:c r="D59" s="60" t="n">
        <x:v>415</x:v>
      </x:c>
      <x:c r="E59" s="16" t="str">
        <x:v>1992-01</x:v>
      </x:c>
      <x:c r="F59" s="16" t="str">
        <x:v>2026-07</x:v>
      </x:c>
      <x:c r="G59" s="56" t="n">
        <x:v>14.32594</x:v>
      </x:c>
      <x:c r="H59" s="16" t="str">
        <x:v>1999-05</x:v>
      </x:c>
      <x:c r="I59" s="58" t="n">
        <x:v>0.372</x:v>
      </x:c>
      <x:c r="J59" s="58" t="n">
        <x:v>0.41949</x:v>
      </x:c>
      <x:c r="K59" s="58" t="n">
        <x:v>0.08207491200987894</x:v>
      </x:c>
      <x:c r="L59" s="16"/>
      <x:c r="M59" s="16" t="str">
        <x:f>IF(ISNUMBER(J59),IF(J59&lt;0.05,"ALERTA ESTADÍSTICA","SIN ALERTA"),"NO EVALUABLE")</x:f>
        <x:v>SIN ALERTA</x:v>
      </x:c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</x:row>
  </x:sheetData>
  <x:mergeCells>
    <x:mergeCell ref="A1:M2"/>
    <x:mergeCell ref="A3:M3"/>
  </x:mergeCells>
  <x:conditionalFormatting sqref="J6:J59">
    <x:cfRule type="colorScale" priority="1">
      <x:colorScale>
        <x:cfvo type="min"/>
        <x:cfvo type="percentile" val="50"/>
        <x:cfvo type="max"/>
        <x:color rgb="FFE9A6AE"/>
        <x:color rgb="FFFFF2D2"/>
        <x:color rgb="FFD6F1E6"/>
      </x:colorScale>
    </x:cfRule>
  </x:conditionalFormatting>
  <x:conditionalFormatting sqref="M6:M59">
    <x:cfRule type="expression" dxfId="0" priority="2">
      <x:formula>$M6="ALERTA ESTADÍSTICA"</x:formula>
    </x:cfRule>
    <x:cfRule type="expression" dxfId="1" priority="3">
      <x:formula>$M6="NO EVALUABLE"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8" hidden="0" customWidth="1"/>
    <x:col min="5" max="5" width="15" hidden="0" customWidth="1"/>
    <x:col min="6" max="6" width="14" hidden="0" customWidth="1"/>
    <x:col min="7" max="7" width="14" hidden="0" customWidth="1"/>
    <x:col min="8" max="8" width="12" hidden="0" customWidth="1"/>
    <x:col min="9" max="9" width="23" hidden="0" customWidth="1"/>
    <x:col min="10" max="10" width="27" hidden="0" customWidth="1"/>
    <x:col min="11" max="11" width="31" hidden="0" customWidth="1"/>
    <x:col min="12" max="12" width="14" hidden="0" customWidth="1"/>
  </x:cols>
  <x:sheetData>
    <x:row r="1" ht="27" customHeight="1">
      <x:c r="A1" s="14" t="str">
        <x:v>TUMACO • CONTRASTE OBSERVACIÓN / NASA POWER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 ht="27" customHeight="1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 ht="29" customHeight="1">
      <x:c r="A3" s="15" t="str">
        <x:v>P y temperatura de IDEAM frente a NASA POWER; comparaciones exploratorias, NO validación IDEAM entre estaciones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</x:row>
    <x:row r="5" ht="31" customHeight="1">
      <x:c r="A5" s="53" t="str">
        <x:v>Variable</x:v>
      </x:c>
      <x:c r="B5" s="53" t="str">
        <x:v>Meses pares</x:v>
      </x:c>
      <x:c r="C5" s="53" t="str">
        <x:v>R Pearson</x:v>
      </x:c>
      <x:c r="D5" s="53" t="str">
        <x:v>Sesgo IDEAM-NASA</x:v>
      </x:c>
      <x:c r="E5" s="53" t="str">
        <x:v>SNHT Tmax</x:v>
      </x:c>
      <x:c r="F5" s="53" t="str">
        <x:v>Corte SNHT</x:v>
      </x:c>
      <x:c r="G5" s="53" t="str">
        <x:v>p bloques</x:v>
      </x:c>
      <x:c r="H5" s="53" t="str">
        <x:v>q BH</x:v>
      </x:c>
      <x:c r="I5" s="53" t="str">
        <x:v>Interpretación</x:v>
      </x:c>
      <x:c r="J5" s="53" t="str">
        <x:v>Periodo común</x:v>
      </x:c>
      <x:c r="K5" s="53" t="str">
        <x:v>Transformación</x:v>
      </x:c>
      <x:c r="L5" s="16"/>
    </x:row>
    <x:row r="6" ht="35" customHeight="1">
      <x:c r="A6" s="42" t="str">
        <x:v>Precipitación (mm/mes)</x:v>
      </x:c>
      <x:c r="B6" s="42" t="n">
        <x:v>399</x:v>
      </x:c>
      <x:c r="C6" s="62" t="n">
        <x:v>0.3415</x:v>
      </x:c>
      <x:c r="D6" s="62" t="n">
        <x:v>165.4241</x:v>
      </x:c>
      <x:c r="E6" s="64" t="n">
        <x:v>52.4047</x:v>
      </x:c>
      <x:c r="F6" s="42" t="str">
        <x:v>2001-04</x:v>
      </x:c>
      <x:c r="G6" s="66" t="n">
        <x:v>0.001</x:v>
      </x:c>
      <x:c r="H6" s="66" t="n">
        <x:v>0.0025</x:v>
      </x:c>
      <x:c r="I6" s="42" t="str">
        <x:f>IF(ISNUMBER(H6),IF(H6&lt;0.05,"ALERTA EXPLORATORIA","SIN ALERTA"),"SIN DATOS")</x:f>
        <x:v>ALERTA EXPLORATORIA</x:v>
      </x:c>
      <x:c r="J6" s="42" t="str">
        <x:v>1992-01 a 2025-07</x:v>
      </x:c>
      <x:c r="K6" s="42" t="str">
        <x:v>log[(P IDEAM+1)/(P NASA+1)]</x:v>
      </x:c>
      <x:c r="L6" s="16"/>
    </x:row>
    <x:row r="7" ht="35" customHeight="1">
      <x:c r="A7" s="42" t="str">
        <x:v>Temperatura media (°C)</x:v>
      </x:c>
      <x:c r="B7" s="42" t="n">
        <x:v>307</x:v>
      </x:c>
      <x:c r="C7" s="62" t="n">
        <x:v>0.5257</x:v>
      </x:c>
      <x:c r="D7" s="62" t="n">
        <x:v>0.3002</x:v>
      </x:c>
      <x:c r="E7" s="64" t="n">
        <x:v>86.39586</x:v>
      </x:c>
      <x:c r="F7" s="42" t="str">
        <x:v>2002-07</x:v>
      </x:c>
      <x:c r="G7" s="66" t="n">
        <x:v>0.001</x:v>
      </x:c>
      <x:c r="H7" s="66" t="n">
        <x:v>0.0025</x:v>
      </x:c>
      <x:c r="I7" s="42" t="str">
        <x:f>IF(ISNUMBER(H7),IF(H7&lt;0.05,"ALERTA EXPLORATORIA","SIN ALERTA"),"SIN DATOS")</x:f>
        <x:v>ALERTA EXPLORATORIA</x:v>
      </x:c>
      <x:c r="J7" s="42" t="str">
        <x:v>1992-02 a 2020-10</x:v>
      </x:c>
      <x:c r="K7" s="42" t="str">
        <x:v>IDEAM - NASA</x:v>
      </x:c>
      <x:c r="L7" s="16"/>
    </x:row>
    <x:row r="8" ht="35" customHeight="1">
      <x:c r="A8" s="42" t="str">
        <x:v>Temperatura máxima (°C)</x:v>
      </x:c>
      <x:c r="B8" s="42" t="n">
        <x:v>261</x:v>
      </x:c>
      <x:c r="C8" s="62" t="n">
        <x:v>0.1504</x:v>
      </x:c>
      <x:c r="D8" s="62" t="n">
        <x:v>-0.1361</x:v>
      </x:c>
      <x:c r="E8" s="64" t="n">
        <x:v>69.91037</x:v>
      </x:c>
      <x:c r="F8" s="42" t="str">
        <x:v>2004-11</x:v>
      </x:c>
      <x:c r="G8" s="66" t="n">
        <x:v>0.006</x:v>
      </x:c>
      <x:c r="H8" s="66" t="n">
        <x:v>0.0075</x:v>
      </x:c>
      <x:c r="I8" s="42" t="str">
        <x:f>IF(ISNUMBER(H8),IF(H8&lt;0.05,"ALERTA EXPLORATORIA","SIN ALERTA"),"SIN DATOS")</x:f>
        <x:v>ALERTA EXPLORATORIA</x:v>
      </x:c>
      <x:c r="J8" s="42" t="str">
        <x:v>1992-01 a 2020-10</x:v>
      </x:c>
      <x:c r="K8" s="42" t="str">
        <x:v>IDEAM - NASA</x:v>
      </x:c>
      <x:c r="L8" s="16"/>
    </x:row>
    <x:row r="9" ht="35" customHeight="1">
      <x:c r="A9" s="42" t="str">
        <x:v>Temperatura mínima (°C)</x:v>
      </x:c>
      <x:c r="B9" s="42" t="n">
        <x:v>282</x:v>
      </x:c>
      <x:c r="C9" s="62" t="n">
        <x:v>0.4929</x:v>
      </x:c>
      <x:c r="D9" s="62" t="n">
        <x:v>-0.0169</x:v>
      </x:c>
      <x:c r="E9" s="64" t="n">
        <x:v>69.41972</x:v>
      </x:c>
      <x:c r="F9" s="42" t="str">
        <x:v>2010-10</x:v>
      </x:c>
      <x:c r="G9" s="66" t="n">
        <x:v>0.005</x:v>
      </x:c>
      <x:c r="H9" s="66" t="n">
        <x:v>0.0075</x:v>
      </x:c>
      <x:c r="I9" s="42" t="str">
        <x:f>IF(ISNUMBER(H9),IF(H9&lt;0.05,"ALERTA EXPLORATORIA","SIN ALERTA"),"SIN DATOS")</x:f>
        <x:v>ALERTA EXPLORATORIA</x:v>
      </x:c>
      <x:c r="J9" s="42" t="str">
        <x:v>1992-01 a 2020-10</x:v>
      </x:c>
      <x:c r="K9" s="42" t="str">
        <x:v>IDEAM - NASA</x:v>
      </x:c>
      <x:c r="L9" s="16"/>
    </x:row>
    <x:row r="10" ht="35" customHeight="1">
      <x:c r="A10" s="42" t="str">
        <x:v>Humedad relativa (%)</x:v>
      </x:c>
      <x:c r="B10" s="42" t="n">
        <x:v>55</x:v>
      </x:c>
      <x:c r="C10" s="62" t="n">
        <x:v>0.2314</x:v>
      </x:c>
      <x:c r="D10" s="62" t="n">
        <x:v>8.3482</x:v>
      </x:c>
      <x:c r="E10" s="64" t="n">
        <x:v>1.42301</x:v>
      </x:c>
      <x:c r="F10" s="42" t="str">
        <x:v>2019-03</x:v>
      </x:c>
      <x:c r="G10" s="66" t="n">
        <x:v>0.79</x:v>
      </x:c>
      <x:c r="H10" s="66" t="n">
        <x:v>0.79</x:v>
      </x:c>
      <x:c r="I10" s="42" t="str">
        <x:f>IF(ISNUMBER(H10),IF(H10&lt;0.05,"ALERTA EXPLORATORIA","SIN ALERTA"),"SIN DATOS")</x:f>
        <x:v>SIN ALERTA</x:v>
      </x:c>
      <x:c r="J10" s="42" t="str">
        <x:v>2016-09 a 2022-06</x:v>
      </x:c>
      <x:c r="K10" s="42" t="str">
        <x:v>IDEAM - NASA</x:v>
      </x:c>
      <x:c r="L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</x:row>
    <x:row r="13" ht="31" customHeight="1">
      <x:c r="A13" s="69" t="str">
        <x:v>NO confundir fuente independiente con estación vecina: NASA POWER es un producto de datos modelados/satelitales y puede presentar sesgos, distinta representatividad espacial y cambios propios. La correlación baja de precipitación Tumaco reduce su idoneidad como referencia para homogeneizar IDEAM.</x:v>
      </x:c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</x:row>
    <x:row r="14" ht="31" customHeight="1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</x:row>
    <x:row r="17" ht="30" customHeight="1">
      <x:c r="A17" s="47" t="str">
        <x:v>Diferencias observadas en una serie relativa NO demuestran error del IDEAM. Se necesitan dos o más estaciones IDEAM de precipitación cercanas a COCO EL 51030020 con fechas coincidentes, amplitud temporal adecuada y metadatos de la estación.</x:v>
      </x:c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</x:row>
    <x:row r="18" ht="30" customHeight="1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</x:row>
  </x:sheetData>
  <x:mergeCells>
    <x:mergeCell ref="A1:L2"/>
    <x:mergeCell ref="A3:L3"/>
    <x:mergeCell ref="A13:L14"/>
    <x:mergeCell ref="A17:L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4" hidden="0" customWidth="1"/>
    <x:col min="3" max="3" width="23" hidden="0" customWidth="1"/>
    <x:col min="4" max="4" width="26" hidden="0" customWidth="1"/>
    <x:col min="5" max="5" width="22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7" customHeight="1">
      <x:c r="A1" s="14" t="str">
        <x:v>ARAUCA • ESTACIONES IDEAM Y RÉGIMEN MENSUAL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 ht="27" customHeight="1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3" ht="29" customHeight="1">
      <x:c r="A3" s="15" t="str">
        <x:v>Correlación entre 12 medias climatológicas ≠ comparación histórica simultánea entre estaciones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</x:row>
    <x:row r="5" ht="31" customHeight="1">
      <x:c r="A5" s="53" t="str">
        <x:v>Estación</x:v>
      </x:c>
      <x:c r="B5" s="53" t="str">
        <x:v>Meses de normal</x:v>
      </x:c>
      <x:c r="C5" s="53" t="str">
        <x:v>Media mensual (mm)</x:v>
      </x:c>
      <x:c r="D5" s="53" t="str">
        <x:v>Σ 12 medias (mm/año)</x:v>
      </x:c>
      <x:c r="E5" s="53" t="str">
        <x:v>r vs Matezamuro</x:v>
      </x:c>
      <x:c r="F5" s="53" t="str">
        <x:v>Cociente anual relativo</x:v>
      </x:c>
      <x:c r="G5" s="16"/>
      <x:c r="H5" s="16"/>
      <x:c r="I5" s="16"/>
      <x:c r="J5" s="16"/>
      <x:c r="K5" s="16"/>
      <x:c r="L5" s="16"/>
      <x:c r="M5" s="16"/>
    </x:row>
    <x:row r="6">
      <x:c r="A6" s="16" t="str">
        <x:v>MATEZAMURO_37050040</x:v>
      </x:c>
      <x:c r="B6" s="16" t="n">
        <x:v>12</x:v>
      </x:c>
      <x:c r="C6" s="56" t="n">
        <x:v>137.238</x:v>
      </x:c>
      <x:c r="D6" s="56" t="n">
        <x:v>1646.859</x:v>
      </x:c>
      <x:c r="E6" s="56" t="n">
        <x:v>1</x:v>
      </x:c>
      <x:c r="F6" s="56" t="n">
        <x:v>1</x:v>
      </x:c>
      <x:c r="G6" s="16"/>
      <x:c r="H6" s="16"/>
      <x:c r="I6" s="16"/>
      <x:c r="J6" s="16"/>
      <x:c r="K6" s="16"/>
      <x:c r="L6" s="16"/>
      <x:c r="M6" s="16"/>
    </x:row>
    <x:row r="7">
      <x:c r="A7" s="16" t="str">
        <x:v>VILLANUEVA_37050050</x:v>
      </x:c>
      <x:c r="B7" s="16" t="n">
        <x:v>12</x:v>
      </x:c>
      <x:c r="C7" s="56" t="n">
        <x:v>148.345</x:v>
      </x:c>
      <x:c r="D7" s="56" t="n">
        <x:v>1780.135</x:v>
      </x:c>
      <x:c r="E7" s="56" t="n">
        <x:v>0.9864</x:v>
      </x:c>
      <x:c r="F7" s="56" t="n">
        <x:v>1.0809</x:v>
      </x:c>
      <x:c r="G7" s="16"/>
      <x:c r="H7" s="16"/>
      <x:c r="I7" s="16"/>
      <x:c r="J7" s="16"/>
      <x:c r="K7" s="16"/>
      <x:c r="L7" s="16"/>
      <x:c r="M7" s="16"/>
    </x:row>
    <x:row r="8">
      <x:c r="A8" s="16" t="str">
        <x:v>AEROPUERTO_37055010</x:v>
      </x:c>
      <x:c r="B8" s="16" t="n">
        <x:v>12</x:v>
      </x:c>
      <x:c r="C8" s="56" t="n">
        <x:v>151.618</x:v>
      </x:c>
      <x:c r="D8" s="56" t="n">
        <x:v>1819.42</x:v>
      </x:c>
      <x:c r="E8" s="56" t="n">
        <x:v>0.9832</x:v>
      </x:c>
      <x:c r="F8" s="56" t="n">
        <x:v>1.1048</x:v>
      </x:c>
      <x:c r="G8" s="16"/>
      <x:c r="H8" s="16"/>
      <x:c r="I8" s="16"/>
      <x:c r="J8" s="16"/>
      <x:c r="K8" s="16"/>
      <x:c r="L8" s="16"/>
      <x:c r="M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31" customHeight="1">
      <x:c r="A11" s="53" t="str">
        <x:v>Mes</x:v>
      </x:c>
      <x:c r="B11" s="53" t="str">
        <x:v>MATEZAMURO 37050040</x:v>
      </x:c>
      <x:c r="C11" s="53" t="str">
        <x:v>VILLANUEVA 37050050</x:v>
      </x:c>
      <x:c r="D11" s="53" t="str">
        <x:v>AEROPUERTO 37055010</x:v>
      </x:c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>
      <x:c r="A12" s="16" t="n">
        <x:v>1</x:v>
      </x:c>
      <x:c r="B12" s="72" t="n">
        <x:v>22.18260869565217</x:v>
      </x:c>
      <x:c r="C12" s="72" t="n">
        <x:v>12.7695652173913</x:v>
      </x:c>
      <x:c r="D12" s="72" t="n">
        <x:v>17.75263157894737</x:v>
      </x:c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>
      <x:c r="A13" s="16" t="n">
        <x:v>2</x:v>
      </x:c>
      <x:c r="B13" s="72" t="n">
        <x:v>7.843478260869565</x:v>
      </x:c>
      <x:c r="C13" s="72" t="n">
        <x:v>24.60869565217391</x:v>
      </x:c>
      <x:c r="D13" s="72" t="n">
        <x:v>10.81052631578947</x:v>
      </x:c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>
      <x:c r="A14" s="16" t="n">
        <x:v>3</x:v>
      </x:c>
      <x:c r="B14" s="72" t="n">
        <x:v>37.02608695652174</x:v>
      </x:c>
      <x:c r="C14" s="72" t="n">
        <x:v>36.375</x:v>
      </x:c>
      <x:c r="D14" s="72" t="n">
        <x:v>62.50526315789473</x:v>
      </x:c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>
      <x:c r="A15" s="16" t="n">
        <x:v>4</x:v>
      </x:c>
      <x:c r="B15" s="72" t="n">
        <x:v>163.7958333333333</x:v>
      </x:c>
      <x:c r="C15" s="72" t="n">
        <x:v>163.3333333333333</x:v>
      </x:c>
      <x:c r="D15" s="72" t="n">
        <x:v>161.0684210526316</x:v>
      </x:c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>
      <x:c r="A16" s="16" t="n">
        <x:v>5</x:v>
      </x:c>
      <x:c r="B16" s="72" t="n">
        <x:v>237.088</x:v>
      </x:c>
      <x:c r="C16" s="72" t="n">
        <x:v>236.2</x:v>
      </x:c>
      <x:c r="D16" s="72" t="n">
        <x:v>285.6473684210526</x:v>
      </x:c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>
      <x:c r="A17" s="16" t="n">
        <x:v>6</x:v>
      </x:c>
      <x:c r="B17" s="72" t="n">
        <x:v>271.6652173913043</x:v>
      </x:c>
      <x:c r="C17" s="72" t="n">
        <x:v>312.4166666666667</x:v>
      </x:c>
      <x:c r="D17" s="72" t="n">
        <x:v>308.1736842105263</x:v>
      </x:c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>
      <x:c r="A18" s="16" t="n">
        <x:v>7</x:v>
      </x:c>
      <x:c r="B18" s="72" t="n">
        <x:v>234.7416666666667</x:v>
      </x:c>
      <x:c r="C18" s="72" t="n">
        <x:v>283.12</x:v>
      </x:c>
      <x:c r="D18" s="72" t="n">
        <x:v>286.1473684210526</x:v>
      </x:c>
      <x:c r="E18" s="16"/>
      <x:c r="F18" s="16"/>
      <x:c r="G18" s="16"/>
      <x:c r="H18" s="16"/>
      <x:c r="I18" s="16"/>
      <x:c r="J18" s="16"/>
      <x:c r="K18" s="16"/>
      <x:c r="L18" s="16"/>
      <x:c r="M18" s="16"/>
    </x:row>
    <x:row r="19">
      <x:c r="A19" s="16" t="n">
        <x:v>8</x:v>
      </x:c>
      <x:c r="B19" s="72" t="n">
        <x:v>220.236</x:v>
      </x:c>
      <x:c r="C19" s="72" t="n">
        <x:v>208.952</x:v>
      </x:c>
      <x:c r="D19" s="72" t="n">
        <x:v>204.7444444444444</x:v>
      </x:c>
      <x:c r="E19" s="16"/>
      <x:c r="F19" s="16"/>
      <x:c r="G19" s="16"/>
      <x:c r="H19" s="16"/>
      <x:c r="I19" s="16"/>
      <x:c r="J19" s="16"/>
      <x:c r="K19" s="16"/>
      <x:c r="L19" s="16"/>
      <x:c r="M19" s="16"/>
    </x:row>
    <x:row r="20">
      <x:c r="A20" s="16" t="n">
        <x:v>9</x:v>
      </x:c>
      <x:c r="B20" s="72" t="n">
        <x:v>187.868</x:v>
      </x:c>
      <x:c r="C20" s="72" t="n">
        <x:v>222.64</x:v>
      </x:c>
      <x:c r="D20" s="72" t="n">
        <x:v>186.6315789473684</x:v>
      </x:c>
      <x:c r="E20" s="16"/>
      <x:c r="F20" s="16"/>
      <x:c r="G20" s="16"/>
      <x:c r="H20" s="16"/>
      <x:c r="I20" s="16"/>
      <x:c r="J20" s="16"/>
      <x:c r="K20" s="16"/>
      <x:c r="L20" s="16"/>
      <x:c r="M20" s="16"/>
    </x:row>
    <x:row r="21">
      <x:c r="A21" s="16" t="n">
        <x:v>10</x:v>
      </x:c>
      <x:c r="B21" s="72" t="n">
        <x:v>150.82</x:v>
      </x:c>
      <x:c r="C21" s="72" t="n">
        <x:v>162.32</x:v>
      </x:c>
      <x:c r="D21" s="72" t="n">
        <x:v>161.8157894736842</x:v>
      </x:c>
      <x:c r="E21" s="16"/>
      <x:c r="F21" s="16"/>
      <x:c r="G21" s="16"/>
      <x:c r="H21" s="16"/>
      <x:c r="I21" s="16"/>
      <x:c r="J21" s="16"/>
      <x:c r="K21" s="16"/>
      <x:c r="L21" s="16"/>
      <x:c r="M21" s="16"/>
    </x:row>
    <x:row r="22">
      <x:c r="A22" s="16" t="n">
        <x:v>11</x:v>
      </x:c>
      <x:c r="B22" s="72" t="n">
        <x:v>88.09166666666665</x:v>
      </x:c>
      <x:c r="C22" s="72" t="n">
        <x:v>92.96</x:v>
      </x:c>
      <x:c r="D22" s="72" t="n">
        <x:v>101.0842105263158</x:v>
      </x:c>
      <x:c r="E22" s="16"/>
      <x:c r="F22" s="16"/>
      <x:c r="G22" s="16"/>
      <x:c r="H22" s="16"/>
      <x:c r="I22" s="16"/>
      <x:c r="J22" s="16"/>
      <x:c r="K22" s="16"/>
      <x:c r="L22" s="16"/>
      <x:c r="M22" s="16"/>
    </x:row>
    <x:row r="23">
      <x:c r="A23" s="16" t="n">
        <x:v>12</x:v>
      </x:c>
      <x:c r="B23" s="72" t="n">
        <x:v>25.5</x:v>
      </x:c>
      <x:c r="C23" s="72" t="n">
        <x:v>24.44</x:v>
      </x:c>
      <x:c r="D23" s="72" t="n">
        <x:v>33.03888888888889</x:v>
      </x:c>
      <x:c r="E23" s="16"/>
      <x:c r="F23" s="16"/>
      <x:c r="G23" s="16"/>
      <x:c r="H23" s="16"/>
      <x:c r="I23" s="16"/>
      <x:c r="J23" s="16"/>
      <x:c r="K23" s="16"/>
      <x:c r="L23" s="16"/>
      <x:c r="M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</x:row>
    <x:row r="26" ht="31" customHeight="1">
      <x:c r="A26" s="69" t="str">
        <x:v>ADVERTENCIA: Los promedios pueden provenir de periodos de observación distintos. Sin la serie original con fecha para cada estación no puede contrastarse si existe una ruptura común, local o instrumental. Registros fuente solicitados: Precipitación(1).xlsx, con Matezamuro, Villanueva y Aeropuerto Santiago Pérez.</x:v>
      </x:c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</x:row>
    <x:row r="27" ht="31" customHeight="1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</x:row>
  </x:sheetData>
  <x:mergeCells>
    <x:mergeCell ref="A1:M2"/>
    <x:mergeCell ref="A3:M3"/>
    <x:mergeCell ref="A26:M27"/>
  </x:mergeCells>
  <x:pageMargins left="0.7" right="0.7" top="0.75" bottom="0.75" header="0.3" footer="0.3"/>
  <x:drawing xmlns:r="http://schemas.openxmlformats.org/officeDocument/2006/relationships" r:id="Rf05858aefad845b0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1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7" customHeight="1">
      <x:c r="A1" s="14" t="str">
        <x:v>TUMACO IDEAM • DIAGNÓSTICO DE PRECIPITACIÓN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</x:row>
    <x:row r="2" ht="27" customHeight="1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3" ht="29" customHeight="1">
      <x:c r="A3" s="15" t="str">
        <x:v>Anomalías normalizadas mensualmente · estadístico SNHT por fecha de corte · datos para inspección gráfica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</x:row>
    <x:row r="5" ht="31" customHeight="1">
      <x:c r="A5" s="53" t="str">
        <x:v>Mes</x:v>
      </x:c>
      <x:c r="B5" s="53" t="str">
        <x:v>Anomalía mensual z</x:v>
      </x:c>
      <x:c r="C5" s="53" t="str">
        <x:v>SNHT T(corte)</x:v>
      </x:c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</x:row>
    <x:row r="6">
      <x:c r="A6" s="16" t="str">
        <x:v>1985-01</x:v>
      </x:c>
      <x:c r="B6" s="74" t="n">
        <x:v>-0.54014</x:v>
      </x:c>
      <x:c r="C6" s="74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</x:row>
    <x:row r="7">
      <x:c r="A7" s="16" t="str">
        <x:v>1985-02</x:v>
      </x:c>
      <x:c r="B7" s="74" t="n">
        <x:v>-0.71692</x:v>
      </x:c>
      <x:c r="C7" s="74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</x:row>
    <x:row r="8">
      <x:c r="A8" s="16" t="str">
        <x:v>1985-03</x:v>
      </x:c>
      <x:c r="B8" s="74" t="n">
        <x:v>-1.39728</x:v>
      </x:c>
      <x:c r="C8" s="74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</x:row>
    <x:row r="9">
      <x:c r="A9" s="16" t="str">
        <x:v>1985-04</x:v>
      </x:c>
      <x:c r="B9" s="74" t="n">
        <x:v>-1.29338</x:v>
      </x:c>
      <x:c r="C9" s="74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</x:row>
    <x:row r="10">
      <x:c r="A10" s="16" t="str">
        <x:v>1985-05</x:v>
      </x:c>
      <x:c r="B10" s="74" t="n">
        <x:v>-0.24031</x:v>
      </x:c>
      <x:c r="C10" s="74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</x:row>
    <x:row r="11">
      <x:c r="A11" s="16" t="str">
        <x:v>1985-06</x:v>
      </x:c>
      <x:c r="B11" s="74" t="n">
        <x:v>0.48887</x:v>
      </x:c>
      <x:c r="C11" s="74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</x:row>
    <x:row r="12">
      <x:c r="A12" s="16" t="str">
        <x:v>1985-07</x:v>
      </x:c>
      <x:c r="B12" s="74" t="n">
        <x:v>-0.82566</x:v>
      </x:c>
      <x:c r="C12" s="74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</x:row>
    <x:row r="13">
      <x:c r="A13" s="16" t="str">
        <x:v>1985-08</x:v>
      </x:c>
      <x:c r="B13" s="74" t="n">
        <x:v>-0.82735</x:v>
      </x:c>
      <x:c r="C13" s="74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</x:row>
    <x:row r="14">
      <x:c r="A14" s="16" t="str">
        <x:v>1985-09</x:v>
      </x:c>
      <x:c r="B14" s="74" t="n">
        <x:v>-0.95113</x:v>
      </x:c>
      <x:c r="C14" s="74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</x:row>
    <x:row r="15">
      <x:c r="A15" s="16" t="str">
        <x:v>1985-10</x:v>
      </x:c>
      <x:c r="B15" s="74" t="n">
        <x:v>-0.71257</x:v>
      </x:c>
      <x:c r="C15" s="74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</x:row>
    <x:row r="16">
      <x:c r="A16" s="16" t="str">
        <x:v>1985-11</x:v>
      </x:c>
      <x:c r="B16" s="74" t="n">
        <x:v>-0.58718</x:v>
      </x:c>
      <x:c r="C16" s="74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</x:row>
    <x:row r="17">
      <x:c r="A17" s="16" t="str">
        <x:v>1985-12</x:v>
      </x:c>
      <x:c r="B17" s="74" t="n">
        <x:v>-0.54719</x:v>
      </x:c>
      <x:c r="C17" s="74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</x:row>
    <x:row r="18">
      <x:c r="A18" s="16" t="str">
        <x:v>1986-01</x:v>
      </x:c>
      <x:c r="B18" s="74" t="n">
        <x:v>-0.8251</x:v>
      </x:c>
      <x:c r="C18" s="74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</x:row>
    <x:row r="19">
      <x:c r="A19" s="16" t="str">
        <x:v>1986-02</x:v>
      </x:c>
      <x:c r="B19" s="74" t="n">
        <x:v>-0.68606</x:v>
      </x:c>
      <x:c r="C19" s="74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</x:row>
    <x:row r="20">
      <x:c r="A20" s="16" t="str">
        <x:v>1986-03</x:v>
      </x:c>
      <x:c r="B20" s="74" t="n">
        <x:v>-0.73853</x:v>
      </x:c>
      <x:c r="C20" s="74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</x:row>
    <x:row r="21">
      <x:c r="A21" s="16" t="str">
        <x:v>1986-04</x:v>
      </x:c>
      <x:c r="B21" s="74" t="n">
        <x:v>-1.25403</x:v>
      </x:c>
      <x:c r="C21" s="74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</x:row>
    <x:row r="22">
      <x:c r="A22" s="16" t="str">
        <x:v>1986-05</x:v>
      </x:c>
      <x:c r="B22" s="74" t="n">
        <x:v>-1.31581</x:v>
      </x:c>
      <x:c r="C22" s="74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</x:row>
    <x:row r="23">
      <x:c r="A23" s="16" t="str">
        <x:v>1986-06</x:v>
      </x:c>
      <x:c r="B23" s="74" t="n">
        <x:v>-1.58108</x:v>
      </x:c>
      <x:c r="C23" s="74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</x:row>
    <x:row r="24">
      <x:c r="A24" s="16" t="str">
        <x:v>1986-07</x:v>
      </x:c>
      <x:c r="B24" s="74" t="n">
        <x:v>-0.98242</x:v>
      </x:c>
      <x:c r="C24" s="74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</x:row>
    <x:row r="25">
      <x:c r="A25" s="16" t="str">
        <x:v>1986-08</x:v>
      </x:c>
      <x:c r="B25" s="74" t="n">
        <x:v>-0.5824</x:v>
      </x:c>
      <x:c r="C25" s="74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</x:row>
    <x:row r="26">
      <x:c r="A26" s="16" t="str">
        <x:v>1986-09</x:v>
      </x:c>
      <x:c r="B26" s="74" t="n">
        <x:v>-0.3834</x:v>
      </x:c>
      <x:c r="C26" s="74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</x:row>
    <x:row r="27">
      <x:c r="A27" s="16" t="str">
        <x:v>1986-10</x:v>
      </x:c>
      <x:c r="B27" s="74" t="n">
        <x:v>-0.30308</x:v>
      </x:c>
      <x:c r="C27" s="74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</x:row>
    <x:row r="28">
      <x:c r="A28" s="16" t="str">
        <x:v>1986-11</x:v>
      </x:c>
      <x:c r="B28" s="74" t="n">
        <x:v>-0.36365</x:v>
      </x:c>
      <x:c r="C28" s="74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</x:row>
    <x:row r="29">
      <x:c r="A29" s="16" t="str">
        <x:v>1986-12</x:v>
      </x:c>
      <x:c r="B29" s="74" t="n">
        <x:v>-0.7491</x:v>
      </x:c>
      <x:c r="C29" s="74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</x:row>
    <x:row r="30">
      <x:c r="A30" s="16" t="str">
        <x:v>1987-01</x:v>
      </x:c>
      <x:c r="B30" s="74" t="n">
        <x:v>0.10746</x:v>
      </x:c>
      <x:c r="C30" s="74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</x:row>
    <x:row r="31">
      <x:c r="A31" s="16" t="str">
        <x:v>1987-02</x:v>
      </x:c>
      <x:c r="B31" s="74" t="n">
        <x:v>-0.95477</x:v>
      </x:c>
      <x:c r="C31" s="74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</x:row>
    <x:row r="32">
      <x:c r="A32" s="16" t="str">
        <x:v>1987-03</x:v>
      </x:c>
      <x:c r="B32" s="74" t="n">
        <x:v>-0.68882</x:v>
      </x:c>
      <x:c r="C32" s="74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</x:row>
    <x:row r="33">
      <x:c r="A33" s="16" t="str">
        <x:v>1987-04</x:v>
      </x:c>
      <x:c r="B33" s="74" t="n">
        <x:v>-0.01938</x:v>
      </x:c>
      <x:c r="C33" s="74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</x:row>
    <x:row r="34">
      <x:c r="A34" s="16" t="str">
        <x:v>1987-05</x:v>
      </x:c>
      <x:c r="B34" s="74" t="n">
        <x:v>-0.35878</x:v>
      </x:c>
      <x:c r="C34" s="74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</x:row>
    <x:row r="35">
      <x:c r="A35" s="16" t="str">
        <x:v>1987-06</x:v>
      </x:c>
      <x:c r="B35" s="74" t="n">
        <x:v>-1.44532</x:v>
      </x:c>
      <x:c r="C35" s="74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</x:row>
    <x:row r="36">
      <x:c r="A36" s="16" t="str">
        <x:v>1987-07</x:v>
      </x:c>
      <x:c r="B36" s="74" t="n">
        <x:v>-0.2217</x:v>
      </x:c>
      <x:c r="C36" s="74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</x:row>
    <x:row r="37">
      <x:c r="A37" s="16" t="str">
        <x:v>1987-08</x:v>
      </x:c>
      <x:c r="B37" s="74" t="n">
        <x:v>1.72779</x:v>
      </x:c>
      <x:c r="C37" s="74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</x:row>
    <x:row r="38">
      <x:c r="A38" s="16" t="str">
        <x:v>1987-09</x:v>
      </x:c>
      <x:c r="B38" s="74" t="n">
        <x:v>-0.43051</x:v>
      </x:c>
      <x:c r="C38" s="74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</x:row>
    <x:row r="39">
      <x:c r="A39" s="16" t="str">
        <x:v>1987-10</x:v>
      </x:c>
      <x:c r="B39" s="74" t="n">
        <x:v>-0.24207</x:v>
      </x:c>
      <x:c r="C39" s="74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</x:row>
    <x:row r="40">
      <x:c r="A40" s="16" t="str">
        <x:v>1987-11</x:v>
      </x:c>
      <x:c r="B40" s="74" t="n">
        <x:v>-0.62087</x:v>
      </x:c>
      <x:c r="C40" s="74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</x:row>
    <x:row r="41">
      <x:c r="A41" s="16" t="str">
        <x:v>1987-12</x:v>
      </x:c>
      <x:c r="B41" s="74" t="n">
        <x:v>-0.84577</x:v>
      </x:c>
      <x:c r="C41" s="74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</x:row>
    <x:row r="42">
      <x:c r="A42" s="16" t="str">
        <x:v>1988-01</x:v>
      </x:c>
      <x:c r="B42" s="74" t="n">
        <x:v>-1.26256</x:v>
      </x:c>
      <x:c r="C42" s="74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</x:row>
    <x:row r="43">
      <x:c r="A43" s="16" t="str">
        <x:v>1988-02</x:v>
      </x:c>
      <x:c r="B43" s="74" t="n">
        <x:v>-0.62577</x:v>
      </x:c>
      <x:c r="C43" s="74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</x:row>
    <x:row r="44" ht="26" customHeight="1">
      <x:c r="A44" s="16" t="str">
        <x:v>1988-03</x:v>
      </x:c>
      <x:c r="B44" s="74" t="n">
        <x:v>-1.38288</x:v>
      </x:c>
      <x:c r="C44" s="74"/>
      <x:c r="D44" s="16"/>
      <x:c r="E44" s="47" t="str">
        <x:v>SNHT absoluto: Tmax 62.29977 | corte 1997-06 | p permutación 0.001 | Pettitt original 1997-03. La proximidad de fechas refuerza la señal estadística, no prueba un cambio instrumental.</x:v>
      </x:c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</x:row>
    <x:row r="45" ht="26" customHeight="1">
      <x:c r="A45" s="16" t="str">
        <x:v>1988-04</x:v>
      </x:c>
      <x:c r="B45" s="74" t="n">
        <x:v>0.09683</x:v>
      </x:c>
      <x:c r="C45" s="74"/>
      <x:c r="D45" s="16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</x:row>
    <x:row r="46">
      <x:c r="A46" s="16" t="str">
        <x:v>1988-05</x:v>
      </x:c>
      <x:c r="B46" s="74" t="n">
        <x:v>-0.35916</x:v>
      </x:c>
      <x:c r="C46" s="74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</x:row>
    <x:row r="47">
      <x:c r="A47" s="16" t="str">
        <x:v>1988-06</x:v>
      </x:c>
      <x:c r="B47" s="74" t="n">
        <x:v>-1.30345</x:v>
      </x:c>
      <x:c r="C47" s="74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</x:row>
    <x:row r="48">
      <x:c r="A48" s="16" t="str">
        <x:v>1988-07</x:v>
      </x:c>
      <x:c r="B48" s="74" t="n">
        <x:v>-0.69035</x:v>
      </x:c>
      <x:c r="C48" s="74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</x:row>
    <x:row r="49">
      <x:c r="A49" s="16" t="str">
        <x:v>1988-08</x:v>
      </x:c>
      <x:c r="B49" s="74" t="n">
        <x:v>-0.55508</x:v>
      </x:c>
      <x:c r="C49" s="74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</x:row>
    <x:row r="50">
      <x:c r="A50" s="16" t="str">
        <x:v>1988-09</x:v>
      </x:c>
      <x:c r="B50" s="74" t="n">
        <x:v>-0.89428</x:v>
      </x:c>
      <x:c r="C50" s="74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</x:row>
    <x:row r="51">
      <x:c r="A51" s="16" t="str">
        <x:v>1988-10</x:v>
      </x:c>
      <x:c r="B51" s="74" t="n">
        <x:v>-0.61187</x:v>
      </x:c>
      <x:c r="C51" s="74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</x:row>
    <x:row r="52">
      <x:c r="A52" s="16" t="str">
        <x:v>1988-11</x:v>
      </x:c>
      <x:c r="B52" s="74" t="n">
        <x:v>-0.54125</x:v>
      </x:c>
      <x:c r="C52" s="74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</x:row>
    <x:row r="53">
      <x:c r="A53" s="16" t="str">
        <x:v>1988-12</x:v>
      </x:c>
      <x:c r="B53" s="74" t="n">
        <x:v>-0.80478</x:v>
      </x:c>
      <x:c r="C53" s="74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</x:row>
    <x:row r="54">
      <x:c r="A54" s="16" t="str">
        <x:v>1989-01</x:v>
      </x:c>
      <x:c r="B54" s="74" t="n">
        <x:v>-0.95186</x:v>
      </x:c>
      <x:c r="C54" s="74" t="n">
        <x:v>23.49525</x:v>
      </x:c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</x:row>
    <x:row r="55">
      <x:c r="A55" s="16" t="str">
        <x:v>1989-02</x:v>
      </x:c>
      <x:c r="B55" s="74" t="n">
        <x:v>-0.59824</x:v>
      </x:c>
      <x:c r="C55" s="74" t="n">
        <x:v>23.95518</x:v>
      </x:c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</x:row>
    <x:row r="56">
      <x:c r="A56" s="16" t="str">
        <x:v>1989-03</x:v>
      </x:c>
      <x:c r="B56" s="74" t="n">
        <x:v>-1.70408</x:v>
      </x:c>
      <x:c r="C56" s="74" t="n">
        <x:v>26.08173</x:v>
      </x:c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</x:row>
    <x:row r="57">
      <x:c r="A57" s="16" t="str">
        <x:v>1989-04</x:v>
      </x:c>
      <x:c r="B57" s="74" t="n">
        <x:v>-1.23804</x:v>
      </x:c>
      <x:c r="C57" s="74" t="n">
        <x:v>27.53525</x:v>
      </x:c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</x:row>
    <x:row r="58">
      <x:c r="A58" s="16" t="str">
        <x:v>1989-05</x:v>
      </x:c>
      <x:c r="B58" s="74" t="n">
        <x:v>-0.64192</x:v>
      </x:c>
      <x:c r="C58" s="74" t="n">
        <x:v>28.07136</x:v>
      </x:c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</x:row>
    <x:row r="59">
      <x:c r="A59" s="16" t="str">
        <x:v>1989-06</x:v>
      </x:c>
      <x:c r="B59" s="74" t="n">
        <x:v>-1.06741</x:v>
      </x:c>
      <x:c r="C59" s="74" t="n">
        <x:v>29.27876</x:v>
      </x:c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</x:row>
    <x:row r="60">
      <x:c r="A60" s="16" t="str">
        <x:v>1989-07</x:v>
      </x:c>
      <x:c r="B60" s="74" t="n">
        <x:v>-0.88259</x:v>
      </x:c>
      <x:c r="C60" s="74" t="n">
        <x:v>30.20294</x:v>
      </x:c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</x:row>
    <x:row r="61">
      <x:c r="A61" t="str">
        <x:v>1989-08</x:v>
      </x:c>
      <x:c r="B61" s="75" t="n">
        <x:v>-0.57147</x:v>
      </x:c>
      <x:c r="C61" s="75" t="n">
        <x:v>30.63585</x:v>
      </x:c>
    </x:row>
    <x:row r="62">
      <x:c r="A62" t="str">
        <x:v>1989-09</x:v>
      </x:c>
      <x:c r="B62" s="75" t="n">
        <x:v>-0.72371</x:v>
      </x:c>
      <x:c r="C62" s="75" t="n">
        <x:v>31.31398</x:v>
      </x:c>
    </x:row>
    <x:row r="63">
      <x:c r="A63" t="str">
        <x:v>1989-10</x:v>
      </x:c>
      <x:c r="B63" s="75" t="n">
        <x:v>-0.26923</x:v>
      </x:c>
      <x:c r="C63" s="75" t="n">
        <x:v>31.27143</x:v>
      </x:c>
    </x:row>
    <x:row r="64">
      <x:c r="A64" t="str">
        <x:v>1989-11</x:v>
      </x:c>
      <x:c r="B64" s="75" t="n">
        <x:v>-0.39886</x:v>
      </x:c>
      <x:c r="C64" s="75" t="n">
        <x:v>31.43951</x:v>
      </x:c>
    </x:row>
    <x:row r="65">
      <x:c r="A65" t="str">
        <x:v>1989-12</x:v>
      </x:c>
      <x:c r="B65" s="75" t="n">
        <x:v>-0.55943</x:v>
      </x:c>
      <x:c r="C65" s="75" t="n">
        <x:v>31.86389</x:v>
      </x:c>
    </x:row>
    <x:row r="66">
      <x:c r="A66" t="str">
        <x:v>1990-01</x:v>
      </x:c>
      <x:c r="B66" s="75" t="n">
        <x:v>-0.7846</x:v>
      </x:c>
      <x:c r="C66" s="75" t="n">
        <x:v>32.64638</x:v>
      </x:c>
    </x:row>
    <x:row r="67">
      <x:c r="A67" t="str">
        <x:v>1990-02</x:v>
      </x:c>
      <x:c r="B67" s="75" t="n">
        <x:v>-0.08884</x:v>
      </x:c>
      <x:c r="C67" s="75" t="n">
        <x:v>32.33499</x:v>
      </x:c>
    </x:row>
    <x:row r="68">
      <x:c r="A68" t="str">
        <x:v>1990-03</x:v>
      </x:c>
      <x:c r="B68" s="75" t="n">
        <x:v>-0.00325</x:v>
      </x:c>
      <x:c r="C68" s="75" t="n">
        <x:v>31.90253</x:v>
      </x:c>
    </x:row>
    <x:row r="69">
      <x:c r="A69" t="str">
        <x:v>1990-04</x:v>
      </x:c>
      <x:c r="B69" s="75" t="n">
        <x:v>-1.10892</x:v>
      </x:c>
      <x:c r="C69" s="75" t="n">
        <x:v>33.19106</x:v>
      </x:c>
    </x:row>
    <x:row r="70">
      <x:c r="A70" t="str">
        <x:v>1990-05</x:v>
      </x:c>
      <x:c r="B70" s="75" t="n">
        <x:v>-1.32902</x:v>
      </x:c>
      <x:c r="C70" s="75" t="n">
        <x:v>34.84269</x:v>
      </x:c>
    </x:row>
    <x:row r="71">
      <x:c r="A71" t="str">
        <x:v>1990-06</x:v>
      </x:c>
      <x:c r="B71" s="75" t="n">
        <x:v>0.7457</x:v>
      </x:c>
      <x:c r="C71" s="75" t="n">
        <x:v>33.23484</x:v>
      </x:c>
    </x:row>
    <x:row r="72">
      <x:c r="A72" t="str">
        <x:v>1990-07</x:v>
      </x:c>
      <x:c r="B72" s="75" t="n">
        <x:v>-0.79183</x:v>
      </x:c>
      <x:c r="C72" s="75" t="n">
        <x:v>34.03676</x:v>
      </x:c>
    </x:row>
    <x:row r="73">
      <x:c r="A73" t="str">
        <x:v>1990-08</x:v>
      </x:c>
      <x:c r="B73" s="75" t="n">
        <x:v>-0.94664</x:v>
      </x:c>
      <x:c r="C73" s="75" t="n">
        <x:v>35.08551</x:v>
      </x:c>
    </x:row>
    <x:row r="74">
      <x:c r="A74" t="str">
        <x:v>1990-09</x:v>
      </x:c>
      <x:c r="B74" s="75" t="n">
        <x:v>-0.78382</x:v>
      </x:c>
      <x:c r="C74" s="75" t="n">
        <x:v>35.88519</x:v>
      </x:c>
    </x:row>
    <x:row r="75">
      <x:c r="A75" t="str">
        <x:v>1990-10</x:v>
      </x:c>
      <x:c r="B75" s="75" t="n">
        <x:v>-0.53624</x:v>
      </x:c>
      <x:c r="C75" s="75" t="n">
        <x:v>36.29815</x:v>
      </x:c>
    </x:row>
    <x:row r="76">
      <x:c r="A76" t="str">
        <x:v>1990-11</x:v>
      </x:c>
      <x:c r="B76" s="75" t="n">
        <x:v>-0.73876</x:v>
      </x:c>
      <x:c r="C76" s="75" t="n">
        <x:v>37.03334</x:v>
      </x:c>
    </x:row>
    <x:row r="77">
      <x:c r="A77" t="str">
        <x:v>1990-12</x:v>
      </x:c>
      <x:c r="B77" s="75" t="n">
        <x:v>-0.85984</x:v>
      </x:c>
      <x:c r="C77" s="75" t="n">
        <x:v>37.96493</x:v>
      </x:c>
    </x:row>
    <x:row r="78">
      <x:c r="A78" t="str">
        <x:v>1991-01</x:v>
      </x:c>
      <x:c r="B78" s="75" t="n">
        <x:v>-1.10435</x:v>
      </x:c>
      <x:c r="C78" s="75" t="n">
        <x:v>39.29531</x:v>
      </x:c>
    </x:row>
    <x:row r="79">
      <x:c r="A79" t="str">
        <x:v>1991-02</x:v>
      </x:c>
      <x:c r="B79" s="75" t="n">
        <x:v>-0.47955</x:v>
      </x:c>
      <x:c r="C79" s="75" t="n">
        <x:v>39.62687</x:v>
      </x:c>
    </x:row>
    <x:row r="80">
      <x:c r="A80" t="str">
        <x:v>1991-03</x:v>
      </x:c>
      <x:c r="B80" s="75" t="n">
        <x:v>0.2414</x:v>
      </x:c>
      <x:c r="C80" s="75" t="n">
        <x:v>38.81113</x:v>
      </x:c>
    </x:row>
    <x:row r="81">
      <x:c r="A81" t="str">
        <x:v>1991-04</x:v>
      </x:c>
      <x:c r="B81" s="75" t="n">
        <x:v>-0.70618</x:v>
      </x:c>
      <x:c r="C81" s="75" t="n">
        <x:v>39.50881</x:v>
      </x:c>
    </x:row>
    <x:row r="82">
      <x:c r="A82" t="str">
        <x:v>1991-05</x:v>
      </x:c>
      <x:c r="B82" s="75" t="n">
        <x:v>-0.31178</x:v>
      </x:c>
      <x:c r="C82" s="75" t="n">
        <x:v>39.58351</x:v>
      </x:c>
    </x:row>
    <x:row r="83">
      <x:c r="A83" t="str">
        <x:v>1991-06</x:v>
      </x:c>
      <x:c r="B83" s="75" t="n">
        <x:v>-0.25717</x:v>
      </x:c>
      <x:c r="C83" s="75" t="n">
        <x:v>39.57622</x:v>
      </x:c>
    </x:row>
    <x:row r="84">
      <x:c r="A84" t="str">
        <x:v>1991-07</x:v>
      </x:c>
      <x:c r="B84" s="75" t="n">
        <x:v>0.62566</x:v>
      </x:c>
      <x:c r="C84" s="75" t="n">
        <x:v>38.20342</x:v>
      </x:c>
    </x:row>
    <x:row r="85">
      <x:c r="A85" t="str">
        <x:v>1991-08</x:v>
      </x:c>
      <x:c r="B85" s="75" t="n">
        <x:v>-0.39572</x:v>
      </x:c>
      <x:c r="C85" s="75" t="n">
        <x:v>38.42454</x:v>
      </x:c>
    </x:row>
    <x:row r="86">
      <x:c r="A86" t="str">
        <x:v>1991-09</x:v>
      </x:c>
      <x:c r="B86" s="75" t="n">
        <x:v>-0.83255</x:v>
      </x:c>
      <x:c r="C86" s="75" t="n">
        <x:v>39.32046</x:v>
      </x:c>
    </x:row>
    <x:row r="87">
      <x:c r="A87" t="str">
        <x:v>1991-10</x:v>
      </x:c>
      <x:c r="B87" s="75" t="n">
        <x:v>-0.42175</x:v>
      </x:c>
      <x:c r="C87" s="75" t="n">
        <x:v>39.58579</x:v>
      </x:c>
    </x:row>
    <x:row r="88">
      <x:c r="A88" t="str">
        <x:v>1991-11</x:v>
      </x:c>
      <x:c r="B88" s="75" t="n">
        <x:v>-0.02145</x:v>
      </x:c>
      <x:c r="C88" s="75" t="n">
        <x:v>39.23942</x:v>
      </x:c>
    </x:row>
    <x:row r="89">
      <x:c r="A89" t="str">
        <x:v>1991-12</x:v>
      </x:c>
      <x:c r="B89" s="75" t="n">
        <x:v>-0.18498</x:v>
      </x:c>
      <x:c r="C89" s="75" t="n">
        <x:v>39.15007</x:v>
      </x:c>
    </x:row>
    <x:row r="90">
      <x:c r="A90" t="str">
        <x:v>1992-01</x:v>
      </x:c>
      <x:c r="B90" s="75" t="n">
        <x:v>-0.8699</x:v>
      </x:c>
      <x:c r="C90" s="75" t="n">
        <x:v>40.10745</x:v>
      </x:c>
    </x:row>
    <x:row r="91">
      <x:c r="A91" t="str">
        <x:v>1992-02</x:v>
      </x:c>
      <x:c r="B91" s="75" t="n">
        <x:v>-0.35089</x:v>
      </x:c>
      <x:c r="C91" s="75" t="n">
        <x:v>40.27503</x:v>
      </x:c>
    </x:row>
    <x:row r="92">
      <x:c r="A92" t="str">
        <x:v>1992-03</x:v>
      </x:c>
      <x:c r="B92" s="75" t="n">
        <x:v>0.88314</x:v>
      </x:c>
      <x:c r="C92" s="75" t="n">
        <x:v>38.58726</x:v>
      </x:c>
    </x:row>
    <x:row r="93">
      <x:c r="A93" t="str">
        <x:v>1992-04</x:v>
      </x:c>
      <x:c r="B93" s="75" t="n">
        <x:v>-0.29668</x:v>
      </x:c>
      <x:c r="C93" s="75" t="n">
        <x:v>38.68417</x:v>
      </x:c>
    </x:row>
    <x:row r="94">
      <x:c r="A94" t="str">
        <x:v>1992-05</x:v>
      </x:c>
      <x:c r="B94" s="75" t="n">
        <x:v>0.24636</x:v>
      </x:c>
      <x:c r="C94" s="75" t="n">
        <x:v>37.9852</x:v>
      </x:c>
    </x:row>
    <x:row r="95">
      <x:c r="A95" t="str">
        <x:v>1992-06</x:v>
      </x:c>
      <x:c r="B95" s="75" t="n">
        <x:v>0.0284</x:v>
      </x:c>
      <x:c r="C95" s="75" t="n">
        <x:v>37.61752</x:v>
      </x:c>
    </x:row>
    <x:row r="96">
      <x:c r="A96" t="str">
        <x:v>1992-07</x:v>
      </x:c>
      <x:c r="B96" s="75" t="n">
        <x:v>-0.36361</x:v>
      </x:c>
      <x:c r="C96" s="75" t="n">
        <x:v>37.82369</x:v>
      </x:c>
    </x:row>
    <x:row r="97">
      <x:c r="A97" t="str">
        <x:v>1992-08</x:v>
      </x:c>
      <x:c r="B97" s="75" t="n">
        <x:v>0.58499</x:v>
      </x:c>
      <x:c r="C97" s="75" t="n">
        <x:v>36.67301</x:v>
      </x:c>
    </x:row>
    <x:row r="98">
      <x:c r="A98" t="str">
        <x:v>1992-09</x:v>
      </x:c>
      <x:c r="B98" s="75" t="n">
        <x:v>-0.36716</x:v>
      </x:c>
      <x:c r="C98" s="75" t="n">
        <x:v>36.89052</x:v>
      </x:c>
    </x:row>
    <x:row r="99">
      <x:c r="A99" t="str">
        <x:v>1992-10</x:v>
      </x:c>
      <x:c r="B99" s="75" t="n">
        <x:v>-0.22786</x:v>
      </x:c>
      <x:c r="C99" s="75" t="n">
        <x:v>36.91311</x:v>
      </x:c>
    </x:row>
    <x:row r="100">
      <x:c r="A100" t="str">
        <x:v>1992-11</x:v>
      </x:c>
      <x:c r="B100" s="75" t="n">
        <x:v>-0.23427</x:v>
      </x:c>
      <x:c r="C100" s="75" t="n">
        <x:v>36.94775</x:v>
      </x:c>
    </x:row>
    <x:row r="101">
      <x:c r="A101" t="str">
        <x:v>1992-12</x:v>
      </x:c>
      <x:c r="B101" s="75" t="n">
        <x:v>-0.00999</x:v>
      </x:c>
      <x:c r="C101" s="75" t="n">
        <x:v>36.67132</x:v>
      </x:c>
    </x:row>
    <x:row r="102">
      <x:c r="A102" t="str">
        <x:v>1993-01</x:v>
      </x:c>
      <x:c r="B102" s="75" t="n">
        <x:v>-0.29759</x:v>
      </x:c>
      <x:c r="C102" s="75" t="n">
        <x:v>36.80096</x:v>
      </x:c>
    </x:row>
    <x:row r="103">
      <x:c r="A103" t="str">
        <x:v>1993-02</x:v>
      </x:c>
      <x:c r="B103" s="75" t="n">
        <x:v>-0.57877</x:v>
      </x:c>
      <x:c r="C103" s="75" t="n">
        <x:v>37.32509</x:v>
      </x:c>
    </x:row>
    <x:row r="104">
      <x:c r="A104" t="str">
        <x:v>1993-03</x:v>
      </x:c>
      <x:c r="B104" s="75" t="n">
        <x:v>1.32077</x:v>
      </x:c>
      <x:c r="C104" s="75" t="n">
        <x:v>35.23372</x:v>
      </x:c>
    </x:row>
    <x:row r="105">
      <x:c r="A105" t="str">
        <x:v>1993-04</x:v>
      </x:c>
      <x:c r="B105" s="75" t="n">
        <x:v>0.31634</x:v>
      </x:c>
      <x:c r="C105" s="75" t="n">
        <x:v>34.54871</x:v>
      </x:c>
    </x:row>
    <x:row r="106">
      <x:c r="A106" t="str">
        <x:v>1993-05</x:v>
      </x:c>
      <x:c r="B106" s="75" t="n">
        <x:v>-0.99421</x:v>
      </x:c>
      <x:c r="C106" s="75" t="n">
        <x:v>35.62688</x:v>
      </x:c>
    </x:row>
    <x:row r="107">
      <x:c r="A107" t="str">
        <x:v>1993-06</x:v>
      </x:c>
      <x:c r="B107" s="75" t="n">
        <x:v>-1.54561</x:v>
      </x:c>
      <x:c r="C107" s="75" t="n">
        <x:v>37.47392</x:v>
      </x:c>
    </x:row>
    <x:row r="108">
      <x:c r="A108" t="str">
        <x:v>1993-07</x:v>
      </x:c>
      <x:c r="B108" s="75" t="n">
        <x:v>-1.13259</x:v>
      </x:c>
      <x:c r="C108" s="75" t="n">
        <x:v>38.77669</x:v>
      </x:c>
    </x:row>
    <x:row r="109">
      <x:c r="A109" t="str">
        <x:v>1993-08</x:v>
      </x:c>
      <x:c r="B109" s="75" t="n">
        <x:v>-0.84101</x:v>
      </x:c>
      <x:c r="C109" s="75" t="n">
        <x:v>39.68283</x:v>
      </x:c>
    </x:row>
    <x:row r="110">
      <x:c r="A110" t="str">
        <x:v>1993-09</x:v>
      </x:c>
      <x:c r="B110" s="75" t="n">
        <x:v>-1.10464</x:v>
      </x:c>
      <x:c r="C110" s="75" t="n">
        <x:v>40.97179</x:v>
      </x:c>
    </x:row>
    <x:row r="111">
      <x:c r="A111" t="str">
        <x:v>1993-10</x:v>
      </x:c>
      <x:c r="B111" s="75" t="n">
        <x:v>-0.69962</x:v>
      </x:c>
      <x:c r="C111" s="75" t="n">
        <x:v>41.69167</x:v>
      </x:c>
    </x:row>
    <x:row r="112">
      <x:c r="A112" t="str">
        <x:v>1993-11</x:v>
      </x:c>
      <x:c r="B112" s="75" t="n">
        <x:v>-0.78775</x:v>
      </x:c>
      <x:c r="C112" s="75" t="n">
        <x:v>42.54328</x:v>
      </x:c>
    </x:row>
    <x:row r="113">
      <x:c r="A113" t="str">
        <x:v>1993-12</x:v>
      </x:c>
      <x:c r="B113" s="75" t="n">
        <x:v>-1.08011</x:v>
      </x:c>
      <x:c r="C113" s="75" t="n">
        <x:v>43.82742</x:v>
      </x:c>
    </x:row>
    <x:row r="114">
      <x:c r="A114" t="str">
        <x:v>1994-01</x:v>
      </x:c>
      <x:c r="B114" s="75" t="n">
        <x:v>-1.23968</x:v>
      </x:c>
      <x:c r="C114" s="75" t="n">
        <x:v>45.36156</x:v>
      </x:c>
    </x:row>
    <x:row r="115">
      <x:c r="A115" t="str">
        <x:v>1994-02</x:v>
      </x:c>
      <x:c r="B115" s="75" t="n">
        <x:v>-1.04497</x:v>
      </x:c>
      <x:c r="C115" s="75" t="n">
        <x:v>46.62281</x:v>
      </x:c>
    </x:row>
    <x:row r="116">
      <x:c r="A116" t="str">
        <x:v>1994-03</x:v>
      </x:c>
      <x:c r="B116" s="75" t="n">
        <x:v>-1.51568</x:v>
      </x:c>
      <x:c r="C116" s="75" t="n">
        <x:v>48.61188</x:v>
      </x:c>
    </x:row>
    <x:row r="117">
      <x:c r="A117" t="str">
        <x:v>1994-04</x:v>
      </x:c>
      <x:c r="B117" s="75" t="n">
        <x:v>0.50572</x:v>
      </x:c>
      <x:c r="C117" s="75" t="n">
        <x:v>47.54403</x:v>
      </x:c>
    </x:row>
    <x:row r="118">
      <x:c r="A118" t="str">
        <x:v>1994-05</x:v>
      </x:c>
      <x:c r="B118" s="75" t="n">
        <x:v>0.11431</x:v>
      </x:c>
      <x:c r="C118" s="75" t="n">
        <x:v>47.07994</x:v>
      </x:c>
    </x:row>
    <x:row r="119">
      <x:c r="A119" t="str">
        <x:v>1994-06</x:v>
      </x:c>
      <x:c r="B119" s="75" t="n">
        <x:v>-0.46753</x:v>
      </x:c>
      <x:c r="C119" s="75" t="n">
        <x:v>47.48934</x:v>
      </x:c>
    </x:row>
    <x:row r="120">
      <x:c r="A120" t="str">
        <x:v>1994-07</x:v>
      </x:c>
      <x:c r="B120" s="75" t="n">
        <x:v>-1.05421</x:v>
      </x:c>
      <x:c r="C120" s="75" t="n">
        <x:v>48.78282</x:v>
      </x:c>
    </x:row>
    <x:row r="121">
      <x:c r="A121" t="str">
        <x:v>1994-08</x:v>
      </x:c>
      <x:c r="B121" s="75" t="n">
        <x:v>-0.75541</x:v>
      </x:c>
      <x:c r="C121" s="75" t="n">
        <x:v>49.63433</x:v>
      </x:c>
    </x:row>
    <x:row r="122">
      <x:c r="A122" t="str">
        <x:v>1994-09</x:v>
      </x:c>
      <x:c r="B122" s="75" t="n">
        <x:v>-0.51254</x:v>
      </x:c>
      <x:c r="C122" s="75" t="n">
        <x:v>50.12122</x:v>
      </x:c>
    </x:row>
    <x:row r="123">
      <x:c r="A123" t="str">
        <x:v>1994-10</x:v>
      </x:c>
      <x:c r="B123" s="75" t="n">
        <x:v>0.00028</x:v>
      </x:c>
      <x:c r="C123" s="75" t="n">
        <x:v>49.83219</x:v>
      </x:c>
    </x:row>
    <x:row r="124">
      <x:c r="A124" t="str">
        <x:v>1994-11</x:v>
      </x:c>
      <x:c r="B124" s="75" t="n">
        <x:v>-0.3981</x:v>
      </x:c>
      <x:c r="C124" s="75" t="n">
        <x:v>50.14968</x:v>
      </x:c>
    </x:row>
    <x:row r="125">
      <x:c r="A125" t="str">
        <x:v>1994-12</x:v>
      </x:c>
      <x:c r="B125" s="75" t="n">
        <x:v>0.35834</x:v>
      </x:c>
      <x:c r="C125" s="75" t="n">
        <x:v>49.33112</x:v>
      </x:c>
    </x:row>
    <x:row r="126">
      <x:c r="A126" t="str">
        <x:v>1995-01</x:v>
      </x:c>
      <x:c r="B126" s="75" t="n">
        <x:v>-0.91183</x:v>
      </x:c>
      <x:c r="C126" s="75" t="n">
        <x:v>50.42483</x:v>
      </x:c>
    </x:row>
    <x:row r="127">
      <x:c r="A127" t="str">
        <x:v>1995-02</x:v>
      </x:c>
      <x:c r="B127" s="75" t="n">
        <x:v>-0.66707</x:v>
      </x:c>
      <x:c r="C127" s="75" t="n">
        <x:v>51.15595</x:v>
      </x:c>
    </x:row>
    <x:row r="128">
      <x:c r="A128" t="str">
        <x:v>1995-03</x:v>
      </x:c>
      <x:c r="B128" s="75" t="n">
        <x:v>-1.35803</x:v>
      </x:c>
      <x:c r="C128" s="75" t="n">
        <x:v>52.94849</x:v>
      </x:c>
    </x:row>
    <x:row r="129">
      <x:c r="A129" t="str">
        <x:v>1995-04</x:v>
      </x:c>
      <x:c r="B129" s="75" t="n">
        <x:v>-0.17063</x:v>
      </x:c>
      <x:c r="C129" s="75" t="n">
        <x:v>52.92908</x:v>
      </x:c>
    </x:row>
    <x:row r="130">
      <x:c r="A130" t="str">
        <x:v>1995-05</x:v>
      </x:c>
      <x:c r="B130" s="75" t="n">
        <x:v>-0.04106</x:v>
      </x:c>
      <x:c r="C130" s="75" t="n">
        <x:v>52.71495</x:v>
      </x:c>
    </x:row>
    <x:row r="131">
      <x:c r="A131" t="str">
        <x:v>1995-06</x:v>
      </x:c>
      <x:c r="B131" s="75" t="n">
        <x:v>-0.44918</x:v>
      </x:c>
      <x:c r="C131" s="75" t="n">
        <x:v>53.12725</x:v>
      </x:c>
    </x:row>
    <x:row r="132">
      <x:c r="A132" t="str">
        <x:v>1995-07</x:v>
      </x:c>
      <x:c r="B132" s="75" t="n">
        <x:v>0.28243</x:v>
      </x:c>
      <x:c r="C132" s="75" t="n">
        <x:v>52.42847</x:v>
      </x:c>
    </x:row>
    <x:row r="133">
      <x:c r="A133" t="str">
        <x:v>1995-08</x:v>
      </x:c>
      <x:c r="B133" s="75" t="n">
        <x:v>0.15519</x:v>
      </x:c>
      <x:c r="C133" s="75" t="n">
        <x:v>51.93186</x:v>
      </x:c>
    </x:row>
    <x:row r="134">
      <x:c r="A134" t="str">
        <x:v>1995-09</x:v>
      </x:c>
      <x:c r="B134" s="75" t="n">
        <x:v>-0.48005</x:v>
      </x:c>
      <x:c r="C134" s="75" t="n">
        <x:v>52.39539</x:v>
      </x:c>
    </x:row>
    <x:row r="135">
      <x:c r="A135" t="str">
        <x:v>1995-10</x:v>
      </x:c>
      <x:c r="B135" s="75" t="n">
        <x:v>0.25517</x:v>
      </x:c>
      <x:c r="C135" s="75" t="n">
        <x:v>51.75789</x:v>
      </x:c>
    </x:row>
    <x:row r="136">
      <x:c r="A136" t="str">
        <x:v>1995-11</x:v>
      </x:c>
      <x:c r="B136" s="75" t="n">
        <x:v>0.1684</x:v>
      </x:c>
      <x:c r="C136" s="75" t="n">
        <x:v>51.25875</x:v>
      </x:c>
    </x:row>
    <x:row r="137">
      <x:c r="A137" t="str">
        <x:v>1995-12</x:v>
      </x:c>
      <x:c r="B137" s="75" t="n">
        <x:v>-0.10666</x:v>
      </x:c>
      <x:c r="C137" s="75" t="n">
        <x:v>51.17286</x:v>
      </x:c>
    </x:row>
    <x:row r="138">
      <x:c r="A138" t="str">
        <x:v>1996-01</x:v>
      </x:c>
      <x:c r="B138" s="75" t="n">
        <x:v>0.00787</x:v>
      </x:c>
      <x:c r="C138" s="75" t="n">
        <x:v>50.92164</x:v>
      </x:c>
    </x:row>
    <x:row r="139">
      <x:c r="A139" t="str">
        <x:v>1996-02</x:v>
      </x:c>
      <x:c r="B139" s="75" t="n">
        <x:v>0.15898</x:v>
      </x:c>
      <x:c r="C139" s="75" t="n">
        <x:v>50.45399</x:v>
      </x:c>
    </x:row>
    <x:row r="140">
      <x:c r="A140" t="str">
        <x:v>1996-03</x:v>
      </x:c>
      <x:c r="B140" s="75" t="n">
        <x:v>0.01572</x:v>
      </x:c>
      <x:c r="C140" s="75" t="n">
        <x:v>50.20132</x:v>
      </x:c>
    </x:row>
    <x:row r="141">
      <x:c r="A141" t="str">
        <x:v>1996-04</x:v>
      </x:c>
      <x:c r="B141" s="75" t="n">
        <x:v>-1.38807</x:v>
      </x:c>
      <x:c r="C141" s="75" t="n">
        <x:v>52.00448</x:v>
      </x:c>
    </x:row>
    <x:row r="142">
      <x:c r="A142" t="str">
        <x:v>1996-05</x:v>
      </x:c>
      <x:c r="B142" s="75" t="n">
        <x:v>-0.13428</x:v>
      </x:c>
      <x:c r="C142" s="75" t="n">
        <x:v>51.9716</x:v>
      </x:c>
    </x:row>
    <x:row r="143">
      <x:c r="A143" t="str">
        <x:v>1996-06</x:v>
      </x:c>
      <x:c r="B143" s="75" t="n">
        <x:v>-0.95673</x:v>
      </x:c>
      <x:c r="C143" s="75" t="n">
        <x:v>53.1565</x:v>
      </x:c>
    </x:row>
    <x:row r="144">
      <x:c r="A144" t="str">
        <x:v>1996-07</x:v>
      </x:c>
      <x:c r="B144" s="75" t="n">
        <x:v>-0.67467</x:v>
      </x:c>
      <x:c r="C144" s="75" t="n">
        <x:v>53.93027</x:v>
      </x:c>
    </x:row>
    <x:row r="145">
      <x:c r="A145" t="str">
        <x:v>1996-08</x:v>
      </x:c>
      <x:c r="B145" s="75" t="n">
        <x:v>-0.66435</x:v>
      </x:c>
      <x:c r="C145" s="75" t="n">
        <x:v>54.69357</x:v>
      </x:c>
    </x:row>
    <x:row r="146">
      <x:c r="A146" t="str">
        <x:v>1996-09</x:v>
      </x:c>
      <x:c r="B146" s="75" t="n">
        <x:v>-0.39883</x:v>
      </x:c>
      <x:c r="C146" s="75" t="n">
        <x:v>55.06208</x:v>
      </x:c>
    </x:row>
    <x:row r="147">
      <x:c r="A147" t="str">
        <x:v>1996-10</x:v>
      </x:c>
      <x:c r="B147" s="75" t="n">
        <x:v>-0.54292</x:v>
      </x:c>
      <x:c r="C147" s="75" t="n">
        <x:v>55.65005</x:v>
      </x:c>
    </x:row>
    <x:row r="148">
      <x:c r="A148" t="str">
        <x:v>1996-11</x:v>
      </x:c>
      <x:c r="B148" s="75" t="n">
        <x:v>-0.76555</x:v>
      </x:c>
      <x:c r="C148" s="75" t="n">
        <x:v>56.57867</x:v>
      </x:c>
    </x:row>
    <x:row r="149">
      <x:c r="A149" t="str">
        <x:v>1996-12</x:v>
      </x:c>
      <x:c r="B149" s="75" t="n">
        <x:v>-0.18009</x:v>
      </x:c>
      <x:c r="C149" s="75" t="n">
        <x:v>56.62389</x:v>
      </x:c>
    </x:row>
    <x:row r="150">
      <x:c r="A150" t="str">
        <x:v>1997-01</x:v>
      </x:c>
      <x:c r="B150" s="75" t="n">
        <x:v>-0.81653</x:v>
      </x:c>
      <x:c r="C150" s="75" t="n">
        <x:v>57.63812</x:v>
      </x:c>
    </x:row>
    <x:row r="151">
      <x:c r="A151" t="str">
        <x:v>1997-02</x:v>
      </x:c>
      <x:c r="B151" s="75" t="n">
        <x:v>-0.6101</x:v>
      </x:c>
      <x:c r="C151" s="75" t="n">
        <x:v>58.34363</x:v>
      </x:c>
    </x:row>
    <x:row r="152">
      <x:c r="A152" t="str">
        <x:v>1997-03</x:v>
      </x:c>
      <x:c r="B152" s="75" t="n">
        <x:v>-0.93936</x:v>
      </x:c>
      <x:c r="C152" s="75" t="n">
        <x:v>59.56081</x:v>
      </x:c>
    </x:row>
    <x:row r="153">
      <x:c r="A153" t="str">
        <x:v>1997-04</x:v>
      </x:c>
      <x:c r="B153" s="75" t="n">
        <x:v>-0.84084</x:v>
      </x:c>
      <x:c r="C153" s="75" t="n">
        <x:v>60.6354</x:v>
      </x:c>
    </x:row>
    <x:row r="154">
      <x:c r="A154" t="str">
        <x:v>1997-05</x:v>
      </x:c>
      <x:c r="B154" s="75" t="n">
        <x:v>-0.30906</x:v>
      </x:c>
      <x:c r="C154" s="75" t="n">
        <x:v>60.88851</x:v>
      </x:c>
    </x:row>
    <x:row r="155">
      <x:c r="A155" t="str">
        <x:v>1997-06</x:v>
      </x:c>
      <x:c r="B155" s="75" t="n">
        <x:v>-1.04846</x:v>
      </x:c>
      <x:c r="C155" s="75" t="n">
        <x:v>62.29977</x:v>
      </x:c>
    </x:row>
    <x:row r="156">
      <x:c r="A156" t="str">
        <x:v>1997-07</x:v>
      </x:c>
      <x:c r="B156" s="75" t="n">
        <x:v>1.025</x:v>
      </x:c>
      <x:c r="C156" s="75" t="n">
        <x:v>60.48021</x:v>
      </x:c>
    </x:row>
    <x:row r="157">
      <x:c r="A157" t="str">
        <x:v>1997-08</x:v>
      </x:c>
      <x:c r="B157" s="75" t="n">
        <x:v>0.21893</x:v>
      </x:c>
      <x:c r="C157" s="75" t="n">
        <x:v>59.92739</x:v>
      </x:c>
    </x:row>
    <x:row r="158">
      <x:c r="A158" t="str">
        <x:v>1997-09</x:v>
      </x:c>
      <x:c r="B158" s="75" t="n">
        <x:v>-0.57752</x:v>
      </x:c>
      <x:c r="C158" s="75" t="n">
        <x:v>60.60251</x:v>
      </x:c>
    </x:row>
    <x:row r="159">
      <x:c r="A159" t="str">
        <x:v>1997-10</x:v>
      </x:c>
      <x:c r="B159" s="75" t="n">
        <x:v>0.62288</x:v>
      </x:c>
      <x:c r="C159" s="75" t="n">
        <x:v>59.43957</x:v>
      </x:c>
    </x:row>
    <x:row r="160">
      <x:c r="A160" t="str">
        <x:v>1997-11</x:v>
      </x:c>
      <x:c r="B160" s="75" t="n">
        <x:v>1.51574</x:v>
      </x:c>
      <x:c r="C160" s="75" t="n">
        <x:v>56.95793</x:v>
      </x:c>
    </x:row>
    <x:row r="161">
      <x:c r="A161" t="str">
        <x:v>1997-12</x:v>
      </x:c>
      <x:c r="B161" s="75" t="n">
        <x:v>0.11972</x:v>
      </x:c>
      <x:c r="C161" s="75" t="n">
        <x:v>56.58844</x:v>
      </x:c>
    </x:row>
    <x:row r="162">
      <x:c r="A162" t="str">
        <x:v>1998-01</x:v>
      </x:c>
      <x:c r="B162" s="75" t="n">
        <x:v>1.42792</x:v>
      </x:c>
      <x:c r="C162" s="75" t="n">
        <x:v>54.3125</x:v>
      </x:c>
    </x:row>
    <x:row r="163">
      <x:c r="A163" t="str">
        <x:v>1998-02</x:v>
      </x:c>
      <x:c r="B163" s="75" t="n">
        <x:v>1.26988</x:v>
      </x:c>
      <x:c r="C163" s="75" t="n">
        <x:v>52.31696</x:v>
      </x:c>
    </x:row>
    <x:row r="164">
      <x:c r="A164" t="str">
        <x:v>1998-03</x:v>
      </x:c>
      <x:c r="B164" s="75" t="n">
        <x:v>0.72221</x:v>
      </x:c>
      <x:c r="C164" s="75" t="n">
        <x:v>51.13167</x:v>
      </x:c>
    </x:row>
    <x:row r="165">
      <x:c r="A165" t="str">
        <x:v>1998-04</x:v>
      </x:c>
      <x:c r="B165" s="75" t="n">
        <x:v>0.1245</x:v>
      </x:c>
      <x:c r="C165" s="75" t="n">
        <x:v>50.7957</x:v>
      </x:c>
    </x:row>
    <x:row r="166">
      <x:c r="A166" t="str">
        <x:v>1998-05</x:v>
      </x:c>
      <x:c r="B166" s="75" t="n">
        <x:v>0.42503</x:v>
      </x:c>
      <x:c r="C166" s="75" t="n">
        <x:v>50.04805</x:v>
      </x:c>
    </x:row>
    <x:row r="167">
      <x:c r="A167" t="str">
        <x:v>1998-06</x:v>
      </x:c>
      <x:c r="B167" s="75" t="n">
        <x:v>1.4526</x:v>
      </x:c>
      <x:c r="C167" s="75" t="n">
        <x:v>47.91344</x:v>
      </x:c>
    </x:row>
    <x:row r="168">
      <x:c r="A168" t="str">
        <x:v>1998-07</x:v>
      </x:c>
      <x:c r="B168" s="75" t="n">
        <x:v>2.75767</x:v>
      </x:c>
      <x:c r="C168" s="75" t="n">
        <x:v>44.12963</x:v>
      </x:c>
    </x:row>
    <x:row r="169">
      <x:c r="A169" t="str">
        <x:v>1998-08</x:v>
      </x:c>
      <x:c r="B169" s="75" t="n">
        <x:v>0.30999</x:v>
      </x:c>
      <x:c r="C169" s="75" t="n">
        <x:v>43.59922</x:v>
      </x:c>
    </x:row>
    <x:row r="170">
      <x:c r="A170" t="str">
        <x:v>1998-09</x:v>
      </x:c>
      <x:c r="B170" s="75" t="n">
        <x:v>0.73825</x:v>
      </x:c>
      <x:c r="C170" s="75" t="n">
        <x:v>42.53153</x:v>
      </x:c>
    </x:row>
    <x:row r="171">
      <x:c r="A171" t="str">
        <x:v>1998-10</x:v>
      </x:c>
      <x:c r="B171" s="75" t="n">
        <x:v>-0.60142</x:v>
      </x:c>
      <x:c r="C171" s="75" t="n">
        <x:v>43.17125</x:v>
      </x:c>
    </x:row>
    <x:row r="172">
      <x:c r="A172" t="str">
        <x:v>1998-11</x:v>
      </x:c>
      <x:c r="B172" s="75" t="n">
        <x:v>-0.58183</x:v>
      </x:c>
      <x:c r="C172" s="75" t="n">
        <x:v>43.79061</x:v>
      </x:c>
    </x:row>
    <x:row r="173">
      <x:c r="A173" t="str">
        <x:v>1998-12</x:v>
      </x:c>
      <x:c r="B173" s="75" t="n">
        <x:v>-0.9143</x:v>
      </x:c>
      <x:c r="C173" s="75" t="n">
        <x:v>44.84377</x:v>
      </x:c>
    </x:row>
    <x:row r="174">
      <x:c r="A174" t="str">
        <x:v>1999-01</x:v>
      </x:c>
      <x:c r="B174" s="75" t="n">
        <x:v>-0.22563</x:v>
      </x:c>
      <x:c r="C174" s="75" t="n">
        <x:v>45.01211</x:v>
      </x:c>
    </x:row>
    <x:row r="175">
      <x:c r="A175" t="str">
        <x:v>1999-02</x:v>
      </x:c>
      <x:c r="B175" s="75" t="n">
        <x:v>0.61948</x:v>
      </x:c>
      <x:c r="C175" s="75" t="n">
        <x:v>44.0938</x:v>
      </x:c>
    </x:row>
    <x:row r="176">
      <x:c r="A176" t="str">
        <x:v>1999-03</x:v>
      </x:c>
      <x:c r="B176" s="75" t="n">
        <x:v>-0.72349</x:v>
      </x:c>
      <x:c r="C176" s="75" t="n">
        <x:v>44.90488</x:v>
      </x:c>
    </x:row>
    <x:row r="177">
      <x:c r="A177" t="str">
        <x:v>1999-04</x:v>
      </x:c>
      <x:c r="B177" s="75" t="n">
        <x:v>2.19045</x:v>
      </x:c>
      <x:c r="C177" s="75" t="n">
        <x:v>42.01342</x:v>
      </x:c>
    </x:row>
    <x:row r="178">
      <x:c r="A178" t="str">
        <x:v>1999-05</x:v>
      </x:c>
      <x:c r="B178" s="75" t="n">
        <x:v>-0.00998</x:v>
      </x:c>
      <x:c r="C178" s="75" t="n">
        <x:v>41.91772</x:v>
      </x:c>
    </x:row>
    <x:row r="179">
      <x:c r="A179" t="str">
        <x:v>1999-06</x:v>
      </x:c>
      <x:c r="B179" s="75" t="n">
        <x:v>1.4098</x:v>
      </x:c>
      <x:c r="C179" s="75" t="n">
        <x:v>40.08186</x:v>
      </x:c>
    </x:row>
    <x:row r="180">
      <x:c r="A180" t="str">
        <x:v>1999-07</x:v>
      </x:c>
      <x:c r="B180" s="75" t="n">
        <x:v>-0.4684</x:v>
      </x:c>
      <x:c r="C180" s="75" t="n">
        <x:v>40.55147</x:v>
      </x:c>
    </x:row>
    <x:row r="181">
      <x:c r="A181" t="str">
        <x:v>1999-08</x:v>
      </x:c>
      <x:c r="B181" s="75" t="n">
        <x:v>-0.83736</x:v>
      </x:c>
      <x:c r="C181" s="75" t="n">
        <x:v>41.47759</x:v>
      </x:c>
    </x:row>
    <x:row r="182">
      <x:c r="A182" t="str">
        <x:v>1999-09</x:v>
      </x:c>
      <x:c r="B182" s="75" t="n">
        <x:v>0.69764</x:v>
      </x:c>
      <x:c r="C182" s="75" t="n">
        <x:v>40.52507</x:v>
      </x:c>
    </x:row>
    <x:row r="183">
      <x:c r="A183" t="str">
        <x:v>1999-10</x:v>
      </x:c>
      <x:c r="B183" s="75" t="n">
        <x:v>0.42231</x:v>
      </x:c>
      <x:c r="C183" s="75" t="n">
        <x:v>39.91871</x:v>
      </x:c>
    </x:row>
    <x:row r="184">
      <x:c r="A184" t="str">
        <x:v>1999-11</x:v>
      </x:c>
      <x:c r="B184" s="75" t="n">
        <x:v>0.58179</x:v>
      </x:c>
      <x:c r="C184" s="75" t="n">
        <x:v>39.12951</x:v>
      </x:c>
    </x:row>
    <x:row r="185">
      <x:c r="A185" t="str">
        <x:v>1999-12</x:v>
      </x:c>
      <x:c r="B185" s="75" t="n">
        <x:v>-0.07607</x:v>
      </x:c>
      <x:c r="C185" s="75" t="n">
        <x:v>39.1311</x:v>
      </x:c>
    </x:row>
    <x:row r="186">
      <x:c r="A186" t="str">
        <x:v>2000-01</x:v>
      </x:c>
      <x:c r="B186" s="75" t="n">
        <x:v>-0.38288</x:v>
      </x:c>
      <x:c r="C186" s="75" t="n">
        <x:v>39.50009</x:v>
      </x:c>
    </x:row>
    <x:row r="187">
      <x:c r="A187" t="str">
        <x:v>2000-02</x:v>
      </x:c>
      <x:c r="B187" s="75" t="n">
        <x:v>-0.02617</x:v>
      </x:c>
      <x:c r="C187" s="75" t="n">
        <x:v>39.44478</x:v>
      </x:c>
    </x:row>
    <x:row r="188">
      <x:c r="A188" t="str">
        <x:v>2000-03</x:v>
      </x:c>
      <x:c r="B188" s="75" t="n">
        <x:v>-0.17661</x:v>
      </x:c>
      <x:c r="C188" s="75" t="n">
        <x:v>39.57055</x:v>
      </x:c>
    </x:row>
    <x:row r="189">
      <x:c r="A189" t="str">
        <x:v>2000-04</x:v>
      </x:c>
      <x:c r="B189" s="75" t="n">
        <x:v>0.15525</x:v>
      </x:c>
      <x:c r="C189" s="75" t="n">
        <x:v>39.3024</x:v>
      </x:c>
    </x:row>
    <x:row r="190">
      <x:c r="A190" t="str">
        <x:v>2000-05</x:v>
      </x:c>
      <x:c r="B190" s="75" t="n">
        <x:v>-0.41393</x:v>
      </x:c>
      <x:c r="C190" s="75" t="n">
        <x:v>39.71358</x:v>
      </x:c>
    </x:row>
    <x:row r="191">
      <x:c r="A191" t="str">
        <x:v>2000-06</x:v>
      </x:c>
      <x:c r="B191" s="75" t="n">
        <x:v>-0.16789</x:v>
      </x:c>
      <x:c r="C191" s="75" t="n">
        <x:v>39.83327</x:v>
      </x:c>
    </x:row>
    <x:row r="192">
      <x:c r="A192" t="str">
        <x:v>2000-07</x:v>
      </x:c>
      <x:c r="B192" s="75" t="n">
        <x:v>-0.25388</x:v>
      </x:c>
      <x:c r="C192" s="75" t="n">
        <x:v>40.05721</x:v>
      </x:c>
    </x:row>
    <x:row r="193">
      <x:c r="A193" t="str">
        <x:v>2000-08</x:v>
      </x:c>
      <x:c r="B193" s="75" t="n">
        <x:v>-0.41849</x:v>
      </x:c>
      <x:c r="C193" s="75" t="n">
        <x:v>40.48037</x:v>
      </x:c>
    </x:row>
    <x:row r="194">
      <x:c r="A194" t="str">
        <x:v>2000-09</x:v>
      </x:c>
      <x:c r="B194" s="75" t="n">
        <x:v>0.66515</x:v>
      </x:c>
      <x:c r="C194" s="75" t="n">
        <x:v>39.60957</x:v>
      </x:c>
    </x:row>
    <x:row r="195">
      <x:c r="A195" t="str">
        <x:v>2000-10</x:v>
      </x:c>
      <x:c r="B195" s="75" t="n">
        <x:v>0.05878</x:v>
      </x:c>
      <x:c r="C195" s="75" t="n">
        <x:v>39.46595</x:v>
      </x:c>
    </x:row>
    <x:row r="196">
      <x:c r="A196" t="str">
        <x:v>2000-11</x:v>
      </x:c>
      <x:c r="B196" s="75" t="n">
        <x:v>-0.22968</x:v>
      </x:c>
      <x:c r="C196" s="75" t="n">
        <x:v>39.66566</x:v>
      </x:c>
    </x:row>
    <x:row r="197">
      <x:c r="A197" t="str">
        <x:v>2000-12</x:v>
      </x:c>
      <x:c r="B197" s="75" t="n">
        <x:v>0.94571</x:v>
      </x:c>
      <x:c r="C197" s="75" t="n">
        <x:v>38.48316</x:v>
      </x:c>
    </x:row>
    <x:row r="198">
      <x:c r="A198" t="str">
        <x:v>2001-01</x:v>
      </x:c>
      <x:c r="B198" s="75" t="n">
        <x:v>-0.74981</x:v>
      </x:c>
      <x:c r="C198" s="75" t="n">
        <x:v>39.2942</x:v>
      </x:c>
    </x:row>
    <x:row r="199">
      <x:c r="A199" t="str">
        <x:v>2001-02</x:v>
      </x:c>
      <x:c r="B199" s="75" t="n">
        <x:v>-1.13707</x:v>
      </x:c>
      <x:c r="C199" s="75" t="n">
        <x:v>40.57568</x:v>
      </x:c>
    </x:row>
    <x:row r="200">
      <x:c r="A200" t="str">
        <x:v>2001-03</x:v>
      </x:c>
      <x:c r="B200" s="75" t="n">
        <x:v>-1.00478</x:v>
      </x:c>
      <x:c r="C200" s="75" t="n">
        <x:v>41.71654</x:v>
      </x:c>
    </x:row>
    <x:row r="201">
      <x:c r="A201" t="str">
        <x:v>2001-04</x:v>
      </x:c>
      <x:c r="B201" s="75" t="n">
        <x:v>0.81315</x:v>
      </x:c>
      <x:c r="C201" s="75" t="n">
        <x:v>40.67029</x:v>
      </x:c>
    </x:row>
    <x:row r="202">
      <x:c r="A202" t="str">
        <x:v>2001-05</x:v>
      </x:c>
      <x:c r="B202" s="75" t="n">
        <x:v>3.25264</x:v>
      </x:c>
      <x:c r="C202" s="75" t="n">
        <x:v>36.81549</x:v>
      </x:c>
    </x:row>
    <x:row r="203">
      <x:c r="A203" t="str">
        <x:v>2001-06</x:v>
      </x:c>
      <x:c r="B203" s="75" t="n">
        <x:v>0.04614</x:v>
      </x:c>
      <x:c r="C203" s="75" t="n">
        <x:v>36.70574</x:v>
      </x:c>
    </x:row>
    <x:row r="204">
      <x:c r="A204" t="str">
        <x:v>2001-07</x:v>
      </x:c>
      <x:c r="B204" s="75" t="n">
        <x:v>0.45569</x:v>
      </x:c>
      <x:c r="C204" s="75" t="n">
        <x:v>36.13571</x:v>
      </x:c>
    </x:row>
    <x:row r="205">
      <x:c r="A205" t="str">
        <x:v>2001-08</x:v>
      </x:c>
      <x:c r="B205" s="75" t="n">
        <x:v>-1.01038</x:v>
      </x:c>
      <x:c r="C205" s="75" t="n">
        <x:v>37.22533</x:v>
      </x:c>
    </x:row>
    <x:row r="206">
      <x:c r="A206" t="str">
        <x:v>2001-09</x:v>
      </x:c>
      <x:c r="B206" s="75" t="n">
        <x:v>-0.22827</x:v>
      </x:c>
      <x:c r="C206" s="75" t="n">
        <x:v>37.43185</x:v>
      </x:c>
    </x:row>
    <x:row r="207">
      <x:c r="A207" t="str">
        <x:v>2001-10</x:v>
      </x:c>
      <x:c r="B207" s="75" t="n">
        <x:v>-0.59307</x:v>
      </x:c>
      <x:c r="C207" s="75" t="n">
        <x:v>38.05887</x:v>
      </x:c>
    </x:row>
    <x:row r="208">
      <x:c r="A208" t="str">
        <x:v>2001-11</x:v>
      </x:c>
      <x:c r="B208" s="75" t="n">
        <x:v>-0.25265</x:v>
      </x:c>
      <x:c r="C208" s="75" t="n">
        <x:v>38.29769</x:v>
      </x:c>
    </x:row>
    <x:row r="209">
      <x:c r="A209" t="str">
        <x:v>2001-12</x:v>
      </x:c>
      <x:c r="B209" s="75" t="n">
        <x:v>1.07419</x:v>
      </x:c>
      <x:c r="C209" s="75" t="n">
        <x:v>37.01841</x:v>
      </x:c>
    </x:row>
    <x:row r="210">
      <x:c r="A210" t="str">
        <x:v>2002-01</x:v>
      </x:c>
      <x:c r="B210" s="75" t="n">
        <x:v>-0.18274</x:v>
      </x:c>
      <x:c r="C210" s="75" t="n">
        <x:v>37.17759</x:v>
      </x:c>
    </x:row>
    <x:row r="211">
      <x:c r="A211" t="str">
        <x:v>2002-02</x:v>
      </x:c>
      <x:c r="B211" s="75" t="n">
        <x:v>2.05321</x:v>
      </x:c>
      <x:c r="C211" s="75" t="n">
        <x:v>34.83834</x:v>
      </x:c>
    </x:row>
    <x:row r="212">
      <x:c r="A212" t="str">
        <x:v>2002-03</x:v>
      </x:c>
      <x:c r="B212" s="75" t="n">
        <x:v>0.55213</x:v>
      </x:c>
      <x:c r="C212" s="75" t="n">
        <x:v>34.19242</x:v>
      </x:c>
    </x:row>
    <x:row r="213">
      <x:c r="A213" t="str">
        <x:v>2002-04</x:v>
      </x:c>
      <x:c r="B213" s="75" t="n">
        <x:v>-0.18846</x:v>
      </x:c>
      <x:c r="C213" s="75" t="n">
        <x:v>34.35684</x:v>
      </x:c>
    </x:row>
    <x:row r="214">
      <x:c r="A214" t="str">
        <x:v>2002-05</x:v>
      </x:c>
      <x:c r="B214" s="75" t="n">
        <x:v>-0.15758</x:v>
      </x:c>
      <x:c r="C214" s="75" t="n">
        <x:v>34.48898</x:v>
      </x:c>
    </x:row>
    <x:row r="215">
      <x:c r="A215" t="str">
        <x:v>2002-06</x:v>
      </x:c>
      <x:c r="B215" s="75" t="n">
        <x:v>1.14685</x:v>
      </x:c>
      <x:c r="C215" s="75" t="n">
        <x:v>33.21177</x:v>
      </x:c>
    </x:row>
    <x:row r="216">
      <x:c r="A216" t="str">
        <x:v>2002-07</x:v>
      </x:c>
      <x:c r="B216" s="75" t="n">
        <x:v>1.33853</x:v>
      </x:c>
      <x:c r="C216" s="75" t="n">
        <x:v>31.76035</x:v>
      </x:c>
    </x:row>
    <x:row r="217">
      <x:c r="A217" t="str">
        <x:v>2002-08</x:v>
      </x:c>
      <x:c r="B217" s="75" t="n">
        <x:v>-1.00127</x:v>
      </x:c>
      <x:c r="C217" s="75" t="n">
        <x:v>32.78205</x:v>
      </x:c>
    </x:row>
    <x:row r="218">
      <x:c r="A218" t="str">
        <x:v>2002-09</x:v>
      </x:c>
      <x:c r="B218" s="75" t="n">
        <x:v>-0.30949</x:v>
      </x:c>
      <x:c r="C218" s="75" t="n">
        <x:v>33.0782</x:v>
      </x:c>
    </x:row>
    <x:row r="219">
      <x:c r="A219" t="str">
        <x:v>2002-10</x:v>
      </x:c>
      <x:c r="B219" s="75" t="n">
        <x:v>0.21756</x:v>
      </x:c>
      <x:c r="C219" s="75" t="n">
        <x:v>32.81464</x:v>
      </x:c>
    </x:row>
    <x:row r="220">
      <x:c r="A220" t="str">
        <x:v>2002-11</x:v>
      </x:c>
      <x:c r="B220" s="75" t="n">
        <x:v>-0.27561</x:v>
      </x:c>
      <x:c r="C220" s="75" t="n">
        <x:v>33.07686</x:v>
      </x:c>
    </x:row>
    <x:row r="221">
      <x:c r="A221" t="str">
        <x:v>2002-12</x:v>
      </x:c>
      <x:c r="B221" s="75" t="n">
        <x:v>3.08104</x:v>
      </x:c>
      <x:c r="C221" s="75" t="n">
        <x:v>29.84897</x:v>
      </x:c>
    </x:row>
    <x:row r="222">
      <x:c r="A222" t="str">
        <x:v>2003-01</x:v>
      </x:c>
      <x:c r="B222" s="75" t="n">
        <x:v>0.04123</x:v>
      </x:c>
      <x:c r="C222" s="75" t="n">
        <x:v>29.78146</x:v>
      </x:c>
    </x:row>
    <x:row r="223">
      <x:c r="A223" t="str">
        <x:v>2003-02</x:v>
      </x:c>
      <x:c r="B223" s="75" t="n">
        <x:v>-0.04516</x:v>
      </x:c>
      <x:c r="C223" s="75" t="n">
        <x:v>29.80231</x:v>
      </x:c>
    </x:row>
    <x:row r="224">
      <x:c r="A224" t="str">
        <x:v>2003-03</x:v>
      </x:c>
      <x:c r="B224" s="75" t="n">
        <x:v>0.19888</x:v>
      </x:c>
      <x:c r="C224" s="75" t="n">
        <x:v>29.57824</x:v>
      </x:c>
    </x:row>
    <x:row r="225">
      <x:c r="A225" t="str">
        <x:v>2003-04</x:v>
      </x:c>
      <x:c r="B225" s="75" t="n">
        <x:v>1.84613</x:v>
      </x:c>
      <x:c r="C225" s="75" t="n">
        <x:v>27.72958</x:v>
      </x:c>
    </x:row>
    <x:row r="226">
      <x:c r="A226" t="str">
        <x:v>2003-05</x:v>
      </x:c>
      <x:c r="B226" s="75" t="n">
        <x:v>1.17854</x:v>
      </x:c>
      <x:c r="C226" s="75" t="n">
        <x:v>26.57494</x:v>
      </x:c>
    </x:row>
    <x:row r="227">
      <x:c r="A227" t="str">
        <x:v>2003-06</x:v>
      </x:c>
      <x:c r="B227" s="75" t="n">
        <x:v>-0.33911</x:v>
      </x:c>
      <x:c r="C227" s="75" t="n">
        <x:v>26.88038</x:v>
      </x:c>
    </x:row>
    <x:row r="228">
      <x:c r="A228" t="str">
        <x:v>2003-07</x:v>
      </x:c>
      <x:c r="B228" s="75" t="n">
        <x:v>-0.41889</x:v>
      </x:c>
      <x:c r="C228" s="75" t="n">
        <x:v>27.26518</x:v>
      </x:c>
    </x:row>
    <x:row r="229">
      <x:c r="A229" t="str">
        <x:v>2003-08</x:v>
      </x:c>
      <x:c r="B229" s="75" t="n">
        <x:v>3.53351</x:v>
      </x:c>
      <x:c r="C229" s="75" t="n">
        <x:v>23.94962</x:v>
      </x:c>
    </x:row>
    <x:row r="230">
      <x:c r="A230" t="str">
        <x:v>2003-09</x:v>
      </x:c>
      <x:c r="B230" s="75" t="n">
        <x:v>3.44289</x:v>
      </x:c>
      <x:c r="C230" s="75" t="n">
        <x:v>20.92796</x:v>
      </x:c>
    </x:row>
    <x:row r="231">
      <x:c r="A231" t="str">
        <x:v>2003-10</x:v>
      </x:c>
      <x:c r="B231" s="75" t="n">
        <x:v>1.55887</x:v>
      </x:c>
      <x:c r="C231" s="75" t="n">
        <x:v>19.62174</x:v>
      </x:c>
    </x:row>
    <x:row r="232">
      <x:c r="A232" t="str">
        <x:v>2003-11</x:v>
      </x:c>
      <x:c r="B232" s="75" t="n">
        <x:v>0.94159</x:v>
      </x:c>
      <x:c r="C232" s="75" t="n">
        <x:v>18.85002</x:v>
      </x:c>
    </x:row>
    <x:row r="233">
      <x:c r="A233" t="str">
        <x:v>2003-12</x:v>
      </x:c>
      <x:c r="B233" s="75" t="n">
        <x:v>0.73156</x:v>
      </x:c>
      <x:c r="C233" s="75" t="n">
        <x:v>18.25991</x:v>
      </x:c>
    </x:row>
    <x:row r="234">
      <x:c r="A234" t="str">
        <x:v>2004-01</x:v>
      </x:c>
      <x:c r="B234" s="75" t="n">
        <x:v>1.55182</x:v>
      </x:c>
      <x:c r="C234" s="75" t="n">
        <x:v>17.04992</x:v>
      </x:c>
    </x:row>
    <x:row r="235">
      <x:c r="A235" t="str">
        <x:v>2004-02</x:v>
      </x:c>
      <x:c r="B235" s="75" t="n">
        <x:v>0.15423</x:v>
      </x:c>
      <x:c r="C235" s="75" t="n">
        <x:v>16.92573</x:v>
      </x:c>
    </x:row>
    <x:row r="236">
      <x:c r="A236" t="str">
        <x:v>2004-03</x:v>
      </x:c>
      <x:c r="B236" s="75" t="n">
        <x:v>-0.81507</x:v>
      </x:c>
      <x:c r="C236" s="75" t="n">
        <x:v>17.54284</x:v>
      </x:c>
    </x:row>
    <x:row r="237">
      <x:c r="A237" t="str">
        <x:v>2004-04</x:v>
      </x:c>
      <x:c r="B237" s="75" t="n">
        <x:v>0.17984</x:v>
      </x:c>
      <x:c r="C237" s="75" t="n">
        <x:v>17.39832</x:v>
      </x:c>
    </x:row>
    <x:row r="238">
      <x:c r="A238" t="str">
        <x:v>2004-05</x:v>
      </x:c>
      <x:c r="B238" s="75" t="n">
        <x:v>0.80179</x:v>
      </x:c>
      <x:c r="C238" s="75" t="n">
        <x:v>16.78235</x:v>
      </x:c>
    </x:row>
    <x:row r="239">
      <x:c r="A239" t="str">
        <x:v>2004-06</x:v>
      </x:c>
      <x:c r="B239" s="75" t="n">
        <x:v>-0.88947</x:v>
      </x:c>
      <x:c r="C239" s="75" t="n">
        <x:v>17.45558</x:v>
      </x:c>
    </x:row>
    <x:row r="240">
      <x:c r="A240" t="str">
        <x:v>2004-07</x:v>
      </x:c>
      <x:c r="B240" s="75" t="n">
        <x:v>-0.12186</x:v>
      </x:c>
      <x:c r="C240" s="75" t="n">
        <x:v>17.54528</x:v>
      </x:c>
    </x:row>
    <x:row r="241">
      <x:c r="A241" t="str">
        <x:v>2004-08</x:v>
      </x:c>
      <x:c r="B241" s="75" t="n">
        <x:v>-1.07412</x:v>
      </x:c>
      <x:c r="C241" s="75" t="n">
        <x:v>18.37996</x:v>
      </x:c>
    </x:row>
    <x:row r="242">
      <x:c r="A242" t="str">
        <x:v>2004-09</x:v>
      </x:c>
      <x:c r="B242" s="75" t="n">
        <x:v>0.54332</x:v>
      </x:c>
      <x:c r="C242" s="75" t="n">
        <x:v>17.9504</x:v>
      </x:c>
    </x:row>
    <x:row r="243">
      <x:c r="A243" t="str">
        <x:v>2004-10</x:v>
      </x:c>
      <x:c r="B243" s="75" t="n">
        <x:v>-0.08329</x:v>
      </x:c>
      <x:c r="C243" s="75" t="n">
        <x:v>18.01297</x:v>
      </x:c>
    </x:row>
    <x:row r="244">
      <x:c r="A244" t="str">
        <x:v>2004-11</x:v>
      </x:c>
      <x:c r="B244" s="75" t="n">
        <x:v>0.58944</x:v>
      </x:c>
      <x:c r="C244" s="75" t="n">
        <x:v>17.55345</x:v>
      </x:c>
    </x:row>
    <x:row r="245">
      <x:c r="A245" t="str">
        <x:v>2004-12</x:v>
      </x:c>
      <x:c r="B245" s="75" t="n">
        <x:v>-0.80417</x:v>
      </x:c>
      <x:c r="C245" s="75" t="n">
        <x:v>18.17806</x:v>
      </x:c>
    </x:row>
    <x:row r="246">
      <x:c r="A246" t="str">
        <x:v>2005-01</x:v>
      </x:c>
      <x:c r="B246" s="75" t="n">
        <x:v>-0.38765</x:v>
      </x:c>
      <x:c r="C246" s="75" t="n">
        <x:v>18.48301</x:v>
      </x:c>
    </x:row>
    <x:row r="247">
      <x:c r="A247" t="str">
        <x:v>2005-02</x:v>
      </x:c>
      <x:c r="B247" s="75" t="n">
        <x:v>-0.68132</x:v>
      </x:c>
      <x:c r="C247" s="75" t="n">
        <x:v>19.02625</x:v>
      </x:c>
    </x:row>
    <x:row r="248">
      <x:c r="A248" t="str">
        <x:v>2005-03</x:v>
      </x:c>
      <x:c r="B248" s="75" t="n">
        <x:v>1.04929</x:v>
      </x:c>
      <x:c r="C248" s="75" t="n">
        <x:v>18.1935</x:v>
      </x:c>
    </x:row>
    <x:row r="249">
      <x:c r="A249" t="str">
        <x:v>2005-04</x:v>
      </x:c>
      <x:c r="B249" s="75" t="n">
        <x:v>1.90761</x:v>
      </x:c>
      <x:c r="C249" s="75" t="n">
        <x:v>16.72734</x:v>
      </x:c>
    </x:row>
    <x:row r="250">
      <x:c r="A250" t="str">
        <x:v>2005-05</x:v>
      </x:c>
      <x:c r="B250" s="75" t="n">
        <x:v>-1.13637</x:v>
      </x:c>
      <x:c r="C250" s="75" t="n">
        <x:v>17.59586</x:v>
      </x:c>
    </x:row>
    <x:row r="251">
      <x:c r="A251" t="str">
        <x:v>2005-06</x:v>
      </x:c>
      <x:c r="B251" s="75" t="n">
        <x:v>-1.1891</x:v>
      </x:c>
      <x:c r="C251" s="75" t="n">
        <x:v>18.52887</x:v>
      </x:c>
    </x:row>
    <x:row r="252">
      <x:c r="A252" t="str">
        <x:v>2005-07</x:v>
      </x:c>
      <x:c r="B252" s="75" t="n">
        <x:v>-1.22747</x:v>
      </x:c>
      <x:c r="C252" s="75" t="n">
        <x:v>19.51799</x:v>
      </x:c>
    </x:row>
    <x:row r="253">
      <x:c r="A253" t="str">
        <x:v>2005-08</x:v>
      </x:c>
      <x:c r="B253" s="75" t="n">
        <x:v>-0.67346</x:v>
      </x:c>
      <x:c r="C253" s="75" t="n">
        <x:v>20.07391</x:v>
      </x:c>
    </x:row>
    <x:row r="254">
      <x:c r="A254" t="str">
        <x:v>2005-09</x:v>
      </x:c>
      <x:c r="B254" s="75" t="n">
        <x:v>-0.52878</x:v>
      </x:c>
      <x:c r="C254" s="75" t="n">
        <x:v>20.51758</x:v>
      </x:c>
    </x:row>
    <x:row r="255">
      <x:c r="A255" t="str">
        <x:v>2005-10</x:v>
      </x:c>
      <x:c r="B255" s="75" t="n">
        <x:v>-0.69753</x:v>
      </x:c>
      <x:c r="C255" s="75" t="n">
        <x:v>21.10952</x:v>
      </x:c>
    </x:row>
    <x:row r="256">
      <x:c r="A256" t="str">
        <x:v>2005-11</x:v>
      </x:c>
      <x:c r="B256" s="75" t="n">
        <x:v>-0.3292</x:v>
      </x:c>
      <x:c r="C256" s="75" t="n">
        <x:v>21.39571</x:v>
      </x:c>
    </x:row>
    <x:row r="257">
      <x:c r="A257" t="str">
        <x:v>2005-12</x:v>
      </x:c>
      <x:c r="B257" s="75" t="n">
        <x:v>-0.41259</x:v>
      </x:c>
      <x:c r="C257" s="75" t="n">
        <x:v>21.75628</x:v>
      </x:c>
    </x:row>
    <x:row r="258">
      <x:c r="A258" t="str">
        <x:v>2006-01</x:v>
      </x:c>
      <x:c r="B258" s="75" t="n">
        <x:v>-0.27328</x:v>
      </x:c>
      <x:c r="C258" s="75" t="n">
        <x:v>22.00014</x:v>
      </x:c>
    </x:row>
    <x:row r="259">
      <x:c r="A259" t="str">
        <x:v>2006-02</x:v>
      </x:c>
      <x:c r="B259" s="75" t="n">
        <x:v>0.5815</x:v>
      </x:c>
      <x:c r="C259" s="75" t="n">
        <x:v>21.50913</x:v>
      </x:c>
    </x:row>
    <x:row r="260">
      <x:c r="A260" t="str">
        <x:v>2006-03</x:v>
      </x:c>
      <x:c r="B260" s="75" t="n">
        <x:v>0.51942</x:v>
      </x:c>
      <x:c r="C260" s="75" t="n">
        <x:v>21.07671</x:v>
      </x:c>
    </x:row>
    <x:row r="261">
      <x:c r="A261" t="str">
        <x:v>2006-04</x:v>
      </x:c>
      <x:c r="B261" s="75" t="n">
        <x:v>-1.33888</x:v>
      </x:c>
      <x:c r="C261" s="75" t="n">
        <x:v>22.23616</x:v>
      </x:c>
    </x:row>
    <x:row r="262">
      <x:c r="A262" t="str">
        <x:v>2006-05</x:v>
      </x:c>
      <x:c r="B262" s="75" t="n">
        <x:v>-1.1286</x:v>
      </x:c>
      <x:c r="C262" s="75" t="n">
        <x:v>23.24063</x:v>
      </x:c>
    </x:row>
    <x:row r="263">
      <x:c r="A263" t="str">
        <x:v>2006-06</x:v>
      </x:c>
      <x:c r="B263" s="75" t="n">
        <x:v>0.36412</x:v>
      </x:c>
      <x:c r="C263" s="75" t="n">
        <x:v>22.93053</x:v>
      </x:c>
    </x:row>
    <x:row r="264">
      <x:c r="A264" t="str">
        <x:v>2006-07</x:v>
      </x:c>
      <x:c r="B264" s="75" t="n">
        <x:v>-0.96345</x:v>
      </x:c>
      <x:c r="C264" s="75" t="n">
        <x:v>23.80381</x:v>
      </x:c>
    </x:row>
    <x:row r="265">
      <x:c r="A265" t="str">
        <x:v>2006-08</x:v>
      </x:c>
      <x:c r="B265" s="75" t="n">
        <x:v>0.34641</x:v>
      </x:c>
      <x:c r="C265" s="75" t="n">
        <x:v>23.50741</x:v>
      </x:c>
    </x:row>
    <x:row r="266">
      <x:c r="A266" t="str">
        <x:v>2006-09</x:v>
      </x:c>
      <x:c r="B266" s="75" t="n">
        <x:v>0.38088</x:v>
      </x:c>
      <x:c r="C266" s="75" t="n">
        <x:v>23.18283</x:v>
      </x:c>
    </x:row>
    <x:row r="267">
      <x:c r="A267" t="str">
        <x:v>2006-10</x:v>
      </x:c>
      <x:c r="B267" s="75" t="n">
        <x:v>-0.04568</x:v>
      </x:c>
      <x:c r="C267" s="75" t="n">
        <x:v>23.23952</x:v>
      </x:c>
    </x:row>
    <x:row r="268">
      <x:c r="A268" t="str">
        <x:v>2006-11</x:v>
      </x:c>
      <x:c r="B268" s="75" t="n">
        <x:v>2.3272</x:v>
      </x:c>
      <x:c r="C268" s="75" t="n">
        <x:v>21.22806</x:v>
      </x:c>
    </x:row>
    <x:row r="269">
      <x:c r="A269" t="str">
        <x:v>2006-12</x:v>
      </x:c>
      <x:c r="B269" s="75" t="n">
        <x:v>-0.85311</x:v>
      </x:c>
      <x:c r="C269" s="75" t="n">
        <x:v>21.97758</x:v>
      </x:c>
    </x:row>
    <x:row r="270">
      <x:c r="A270" t="str">
        <x:v>2007-01</x:v>
      </x:c>
      <x:c r="B270" s="75" t="n">
        <x:v>-0.34953</x:v>
      </x:c>
      <x:c r="C270" s="75" t="n">
        <x:v>22.29938</x:v>
      </x:c>
    </x:row>
    <x:row r="271">
      <x:c r="A271" t="str">
        <x:v>2007-02</x:v>
      </x:c>
      <x:c r="B271" s="75" t="n">
        <x:v>0.01181</x:v>
      </x:c>
      <x:c r="C271" s="75" t="n">
        <x:v>22.3076</x:v>
      </x:c>
    </x:row>
    <x:row r="272">
      <x:c r="A272" t="str">
        <x:v>2007-03</x:v>
      </x:c>
      <x:c r="B272" s="75" t="n">
        <x:v>-0.08895</x:v>
      </x:c>
      <x:c r="C272" s="75" t="n">
        <x:v>22.40483</x:v>
      </x:c>
    </x:row>
    <x:row r="273">
      <x:c r="A273" t="str">
        <x:v>2007-04</x:v>
      </x:c>
      <x:c r="B273" s="75" t="n">
        <x:v>1.40342</x:v>
      </x:c>
      <x:c r="C273" s="75" t="n">
        <x:v>21.21087</x:v>
      </x:c>
    </x:row>
    <x:row r="274">
      <x:c r="A274" t="str">
        <x:v>2007-05</x:v>
      </x:c>
      <x:c r="B274" s="75" t="n">
        <x:v>1.23292</x:v>
      </x:c>
      <x:c r="C274" s="75" t="n">
        <x:v>20.191</x:v>
      </x:c>
    </x:row>
    <x:row r="275">
      <x:c r="A275" t="str">
        <x:v>2007-06</x:v>
      </x:c>
      <x:c r="B275" s="75" t="n">
        <x:v>1.18354</x:v>
      </x:c>
      <x:c r="C275" s="75" t="n">
        <x:v>19.23616</x:v>
      </x:c>
    </x:row>
    <x:row r="276">
      <x:c r="A276" t="str">
        <x:v>2007-07</x:v>
      </x:c>
      <x:c r="B276" s="75" t="n">
        <x:v>-0.07236</x:v>
      </x:c>
      <x:c r="C276" s="75" t="n">
        <x:v>19.31453</x:v>
      </x:c>
    </x:row>
    <x:row r="277">
      <x:c r="A277" t="str">
        <x:v>2007-08</x:v>
      </x:c>
      <x:c r="B277" s="75" t="n">
        <x:v>0.20072</x:v>
      </x:c>
      <x:c r="C277" s="75" t="n">
        <x:v>19.17125</x:v>
      </x:c>
    </x:row>
    <x:row r="278">
      <x:c r="A278" t="str">
        <x:v>2007-09</x:v>
      </x:c>
      <x:c r="B278" s="75" t="n">
        <x:v>-0.3501</x:v>
      </x:c>
      <x:c r="C278" s="75" t="n">
        <x:v>19.47787</x:v>
      </x:c>
    </x:row>
    <x:row r="279">
      <x:c r="A279" t="str">
        <x:v>2007-10</x:v>
      </x:c>
      <x:c r="B279" s="75" t="n">
        <x:v>-0.48443</x:v>
      </x:c>
      <x:c r="C279" s="75" t="n">
        <x:v>19.89913</x:v>
      </x:c>
    </x:row>
    <x:row r="280">
      <x:c r="A280" t="str">
        <x:v>2007-11</x:v>
      </x:c>
      <x:c r="B280" s="75" t="n">
        <x:v>-0.19906</x:v>
      </x:c>
      <x:c r="C280" s="75" t="n">
        <x:v>20.08762</x:v>
      </x:c>
    </x:row>
    <x:row r="281">
      <x:c r="A281" t="str">
        <x:v>2007-12</x:v>
      </x:c>
      <x:c r="B281" s="75" t="n">
        <x:v>-0.70015</x:v>
      </x:c>
      <x:c r="C281" s="75" t="n">
        <x:v>20.69988</x:v>
      </x:c>
    </x:row>
    <x:row r="282">
      <x:c r="A282" t="str">
        <x:v>2008-01</x:v>
      </x:c>
      <x:c r="B282" s="75" t="n">
        <x:v>4.20608</x:v>
      </x:c>
      <x:c r="C282" s="75" t="n">
        <x:v>17.31424</x:v>
      </x:c>
    </x:row>
    <x:row r="283">
      <x:c r="A283" t="str">
        <x:v>2008-02</x:v>
      </x:c>
      <x:c r="B283" s="75" t="n">
        <x:v>0.34413</x:v>
      </x:c>
      <x:c r="C283" s="75" t="n">
        <x:v>17.07026</x:v>
      </x:c>
    </x:row>
    <x:row r="284">
      <x:c r="A284" t="str">
        <x:v>2008-03</x:v>
      </x:c>
      <x:c r="B284" s="75" t="n">
        <x:v>-0.2067</x:v>
      </x:c>
      <x:c r="C284" s="75" t="n">
        <x:v>17.2521</x:v>
      </x:c>
    </x:row>
    <x:row r="285">
      <x:c r="A285" t="str">
        <x:v>2008-04</x:v>
      </x:c>
      <x:c r="B285" s="75" t="n">
        <x:v>-0.87158</x:v>
      </x:c>
      <x:c r="C285" s="75" t="n">
        <x:v>17.9574</x:v>
      </x:c>
    </x:row>
    <x:row r="286">
      <x:c r="A286" t="str">
        <x:v>2008-05</x:v>
      </x:c>
      <x:c r="B286" s="75" t="n">
        <x:v>0.02886</x:v>
      </x:c>
      <x:c r="C286" s="75" t="n">
        <x:v>17.95925</x:v>
      </x:c>
    </x:row>
    <x:row r="287">
      <x:c r="A287" t="str">
        <x:v>2008-06</x:v>
      </x:c>
      <x:c r="B287" s="75" t="n">
        <x:v>-0.00278</x:v>
      </x:c>
      <x:c r="C287" s="75" t="n">
        <x:v>17.9868</x:v>
      </x:c>
    </x:row>
    <x:row r="288">
      <x:c r="A288" t="str">
        <x:v>2008-07</x:v>
      </x:c>
      <x:c r="B288" s="75" t="n">
        <x:v>1.45404</x:v>
      </x:c>
      <x:c r="C288" s="75" t="n">
        <x:v>16.87793</x:v>
      </x:c>
    </x:row>
    <x:row r="289">
      <x:c r="A289" t="str">
        <x:v>2008-08</x:v>
      </x:c>
      <x:c r="B289" s="75" t="n">
        <x:v>2.09476</x:v>
      </x:c>
      <x:c r="C289" s="75" t="n">
        <x:v>15.33057</x:v>
      </x:c>
    </x:row>
    <x:row r="290">
      <x:c r="A290" t="str">
        <x:v>2008-09</x:v>
      </x:c>
      <x:c r="B290" s="75" t="n">
        <x:v>0.40525</x:v>
      </x:c>
      <x:c r="C290" s="75" t="n">
        <x:v>15.05814</x:v>
      </x:c>
    </x:row>
    <x:row r="291">
      <x:c r="A291" t="str">
        <x:v>2008-10</x:v>
      </x:c>
      <x:c r="B291" s="75" t="n">
        <x:v>0.9697</x:v>
      </x:c>
      <x:c r="C291" s="75" t="n">
        <x:v>14.38447</x:v>
      </x:c>
    </x:row>
    <x:row r="292">
      <x:c r="A292" t="str">
        <x:v>2008-11</x:v>
      </x:c>
      <x:c r="B292" s="75" t="n">
        <x:v>0.05357</x:v>
      </x:c>
      <x:c r="C292" s="75" t="n">
        <x:v>14.36939</x:v>
      </x:c>
    </x:row>
    <x:row r="293">
      <x:c r="A293" t="str">
        <x:v>2008-12</x:v>
      </x:c>
      <x:c r="B293" s="75" t="n">
        <x:v>-0.62061</x:v>
      </x:c>
      <x:c r="C293" s="75" t="n">
        <x:v>14.83809</x:v>
      </x:c>
    </x:row>
    <x:row r="294">
      <x:c r="A294" t="str">
        <x:v>2009-01</x:v>
      </x:c>
      <x:c r="B294" s="75" t="n">
        <x:v>-1.04526</x:v>
      </x:c>
      <x:c r="C294" s="75" t="n">
        <x:v>15.62933</x:v>
      </x:c>
    </x:row>
    <x:row r="295">
      <x:c r="A295" t="str">
        <x:v>2009-02</x:v>
      </x:c>
      <x:c r="B295" s="75" t="n">
        <x:v>-1.05162</x:v>
      </x:c>
      <x:c r="C295" s="75" t="n">
        <x:v>16.44797</x:v>
      </x:c>
    </x:row>
    <x:row r="296">
      <x:c r="A296" t="str">
        <x:v>2009-03</x:v>
      </x:c>
      <x:c r="B296" s="75" t="n">
        <x:v>-0.93282</x:v>
      </x:c>
      <x:c r="C296" s="75" t="n">
        <x:v>17.1968</x:v>
      </x:c>
    </x:row>
    <x:row r="297">
      <x:c r="A297" t="str">
        <x:v>2009-04</x:v>
      </x:c>
      <x:c r="B297" s="75" t="n">
        <x:v>-0.89003</x:v>
      </x:c>
      <x:c r="C297" s="75" t="n">
        <x:v>17.9302</x:v>
      </x:c>
    </x:row>
    <x:row r="298">
      <x:c r="A298" t="str">
        <x:v>2009-05</x:v>
      </x:c>
      <x:c r="B298" s="75" t="n">
        <x:v>-1.19851</x:v>
      </x:c>
      <x:c r="C298" s="75" t="n">
        <x:v>18.93308</x:v>
      </x:c>
    </x:row>
    <x:row r="299">
      <x:c r="A299" t="str">
        <x:v>2009-06</x:v>
      </x:c>
      <x:c r="B299" s="75" t="n">
        <x:v>-0.5776</x:v>
      </x:c>
      <x:c r="C299" s="75" t="n">
        <x:v>19.44601</x:v>
      </x:c>
    </x:row>
    <x:row r="300">
      <x:c r="A300" t="str">
        <x:v>2009-07</x:v>
      </x:c>
      <x:c r="B300" s="75" t="n">
        <x:v>0.60421</x:v>
      </x:c>
      <x:c r="C300" s="75" t="n">
        <x:v>18.98288</x:v>
      </x:c>
    </x:row>
    <x:row r="301">
      <x:c r="A301" t="str">
        <x:v>2009-08</x:v>
      </x:c>
      <x:c r="B301" s="75" t="n">
        <x:v>0.82903</x:v>
      </x:c>
      <x:c r="C301" s="75" t="n">
        <x:v>18.34273</x:v>
      </x:c>
    </x:row>
    <x:row r="302">
      <x:c r="A302" t="str">
        <x:v>2009-09</x:v>
      </x:c>
      <x:c r="B302" s="75" t="n">
        <x:v>-1.10545</x:v>
      </x:c>
      <x:c r="C302" s="75" t="n">
        <x:v>19.28676</x:v>
      </x:c>
    </x:row>
    <x:row r="303">
      <x:c r="A303" t="str">
        <x:v>2009-10</x:v>
      </x:c>
      <x:c r="B303" s="75" t="n">
        <x:v>-0.64739</x:v>
      </x:c>
      <x:c r="C303" s="75" t="n">
        <x:v>19.86866</x:v>
      </x:c>
    </x:row>
    <x:row r="304">
      <x:c r="A304" t="str">
        <x:v>2009-11</x:v>
      </x:c>
      <x:c r="B304" s="75" t="n">
        <x:v>-0.65838</x:v>
      </x:c>
      <x:c r="C304" s="75" t="n">
        <x:v>20.47063</x:v>
      </x:c>
    </x:row>
    <x:row r="305">
      <x:c r="A305" t="str">
        <x:v>2009-12</x:v>
      </x:c>
      <x:c r="B305" s="75" t="n">
        <x:v>0.15643</x:v>
      </x:c>
      <x:c r="C305" s="75" t="n">
        <x:v>20.37965</x:v>
      </x:c>
    </x:row>
    <x:row r="306">
      <x:c r="A306" t="str">
        <x:v>2010-01</x:v>
      </x:c>
      <x:c r="B306" s="75" t="n">
        <x:v>-0.25899</x:v>
      </x:c>
      <x:c r="C306" s="75" t="n">
        <x:v>20.64651</x:v>
      </x:c>
    </x:row>
    <x:row r="307">
      <x:c r="A307" t="str">
        <x:v>2010-02</x:v>
      </x:c>
      <x:c r="B307" s="75" t="n">
        <x:v>-0.21607</x:v>
      </x:c>
      <x:c r="C307" s="75" t="n">
        <x:v>20.87918</x:v>
      </x:c>
    </x:row>
    <x:row r="308">
      <x:c r="A308" t="str">
        <x:v>2010-03</x:v>
      </x:c>
      <x:c r="B308" s="75" t="n">
        <x:v>1.01658</x:v>
      </x:c>
      <x:c r="C308" s="75" t="n">
        <x:v>20.04984</x:v>
      </x:c>
    </x:row>
    <x:row r="309">
      <x:c r="A309" t="str">
        <x:v>2010-04</x:v>
      </x:c>
      <x:c r="B309" s="75" t="n">
        <x:v>0.21058</x:v>
      </x:c>
      <x:c r="C309" s="75" t="n">
        <x:v>19.91599</x:v>
      </x:c>
    </x:row>
    <x:row r="310">
      <x:c r="A310" t="str">
        <x:v>2010-05</x:v>
      </x:c>
      <x:c r="B310" s="75" t="n">
        <x:v>-1.10529</x:v>
      </x:c>
      <x:c r="C310" s="75" t="n">
        <x:v>20.91574</x:v>
      </x:c>
    </x:row>
    <x:row r="311">
      <x:c r="A311" t="str">
        <x:v>2010-06</x:v>
      </x:c>
      <x:c r="B311" s="75" t="n">
        <x:v>0.13175</x:v>
      </x:c>
      <x:c r="C311" s="75" t="n">
        <x:v>20.85007</x:v>
      </x:c>
    </x:row>
    <x:row r="312">
      <x:c r="A312" t="str">
        <x:v>2010-07</x:v>
      </x:c>
      <x:c r="B312" s="75" t="n">
        <x:v>-0.31988</x:v>
      </x:c>
      <x:c r="C312" s="75" t="n">
        <x:v>21.18092</x:v>
      </x:c>
    </x:row>
    <x:row r="313">
      <x:c r="A313" t="str">
        <x:v>2010-08</x:v>
      </x:c>
      <x:c r="B313" s="75" t="n">
        <x:v>-0.84647</x:v>
      </x:c>
      <x:c r="C313" s="75" t="n">
        <x:v>21.98639</x:v>
      </x:c>
    </x:row>
    <x:row r="314">
      <x:c r="A314" t="str">
        <x:v>2010-09</x:v>
      </x:c>
      <x:c r="B314" s="75" t="n">
        <x:v>0.90069</x:v>
      </x:c>
      <x:c r="C314" s="75" t="n">
        <x:v>21.23776</x:v>
      </x:c>
    </x:row>
    <x:row r="315">
      <x:c r="A315" t="str">
        <x:v>2010-10</x:v>
      </x:c>
      <x:c r="B315" s="75" t="n">
        <x:v>-0.21282</x:v>
      </x:c>
      <x:c r="C315" s="75" t="n">
        <x:v>21.48059</x:v>
      </x:c>
    </x:row>
    <x:row r="316">
      <x:c r="A316" t="str">
        <x:v>2010-11</x:v>
      </x:c>
      <x:c r="B316" s="75" t="n">
        <x:v>0.88034</x:v>
      </x:c>
      <x:c r="C316" s="75" t="n">
        <x:v>20.75774</x:v>
      </x:c>
    </x:row>
    <x:row r="317">
      <x:c r="A317" t="str">
        <x:v>2010-12</x:v>
      </x:c>
      <x:c r="B317" s="75" t="n">
        <x:v>1.17821</x:v>
      </x:c>
      <x:c r="C317" s="75" t="n">
        <x:v>19.79035</x:v>
      </x:c>
    </x:row>
    <x:row r="318">
      <x:c r="A318" t="str">
        <x:v>2011-01</x:v>
      </x:c>
      <x:c r="B318" s="75" t="n">
        <x:v>-0.03502</x:v>
      </x:c>
      <x:c r="C318" s="75" t="n">
        <x:v>19.87324</x:v>
      </x:c>
    </x:row>
    <x:row r="319">
      <x:c r="A319" t="str">
        <x:v>2011-02</x:v>
      </x:c>
      <x:c r="B319" s="75" t="n">
        <x:v>-0.74303</x:v>
      </x:c>
      <x:c r="C319" s="75" t="n">
        <x:v>20.57255</x:v>
      </x:c>
    </x:row>
    <x:row r="320">
      <x:c r="A320" t="str">
        <x:v>2011-03</x:v>
      </x:c>
      <x:c r="B320" s="75" t="n">
        <x:v>-0.91974</x:v>
      </x:c>
      <x:c r="C320" s="75" t="n">
        <x:v>21.44465</x:v>
      </x:c>
    </x:row>
    <x:row r="321">
      <x:c r="A321" t="str">
        <x:v>2011-04</x:v>
      </x:c>
      <x:c r="B321" s="75" t="n">
        <x:v>-0.5457</x:v>
      </x:c>
      <x:c r="C321" s="75" t="n">
        <x:v>21.9974</x:v>
      </x:c>
    </x:row>
    <x:row r="322">
      <x:c r="A322" t="str">
        <x:v>2011-05</x:v>
      </x:c>
      <x:c r="B322" s="75" t="n">
        <x:v>-1.37718</x:v>
      </x:c>
      <x:c r="C322" s="75" t="n">
        <x:v>23.33172</x:v>
      </x:c>
    </x:row>
    <x:row r="323">
      <x:c r="A323" t="str">
        <x:v>2011-06</x:v>
      </x:c>
      <x:c r="B323" s="75" t="n">
        <x:v>-0.97508</x:v>
      </x:c>
      <x:c r="C323" s="75" t="n">
        <x:v>24.32386</x:v>
      </x:c>
    </x:row>
    <x:row r="324">
      <x:c r="A324" t="str">
        <x:v>2011-07</x:v>
      </x:c>
      <x:c r="B324" s="75" t="n">
        <x:v>0.30718</x:v>
      </x:c>
      <x:c r="C324" s="75" t="n">
        <x:v>24.1014</x:v>
      </x:c>
    </x:row>
    <x:row r="325">
      <x:c r="A325" t="str">
        <x:v>2011-08</x:v>
      </x:c>
      <x:c r="B325" s="75" t="n">
        <x:v>0.30999</x:v>
      </x:c>
      <x:c r="C325" s="75" t="n">
        <x:v>23.87766</x:v>
      </x:c>
    </x:row>
    <x:row r="326">
      <x:c r="A326" t="str">
        <x:v>2011-09</x:v>
      </x:c>
      <x:c r="B326" s="75" t="n">
        <x:v>-0.66686</x:v>
      </x:c>
      <x:c r="C326" s="75" t="n">
        <x:v>24.59079</x:v>
      </x:c>
    </x:row>
    <x:row r="327">
      <x:c r="A327" t="str">
        <x:v>2011-10</x:v>
      </x:c>
      <x:c r="B327" s="75" t="n">
        <x:v>-0.217</x:v>
      </x:c>
      <x:c r="C327" s="75" t="n">
        <x:v>24.8776</x:v>
      </x:c>
    </x:row>
    <x:row r="328">
      <x:c r="A328" t="str">
        <x:v>2011-11</x:v>
      </x:c>
      <x:c r="B328" s="75" t="n">
        <x:v>-0.87273</x:v>
      </x:c>
      <x:c r="C328" s="75" t="n">
        <x:v>25.81561</x:v>
      </x:c>
    </x:row>
    <x:row r="329">
      <x:c r="A329" t="str">
        <x:v>2011-12</x:v>
      </x:c>
      <x:c r="B329" s="75" t="n">
        <x:v>-0.82864</x:v>
      </x:c>
      <x:c r="C329" s="75" t="n">
        <x:v>26.7305</x:v>
      </x:c>
    </x:row>
    <x:row r="330">
      <x:c r="A330" t="str">
        <x:v>2012-01</x:v>
      </x:c>
      <x:c r="B330" s="75" t="n">
        <x:v>0.96092</x:v>
      </x:c>
      <x:c r="C330" s="75" t="n">
        <x:v>25.84938</x:v>
      </x:c>
    </x:row>
    <x:row r="331">
      <x:c r="A331" t="str">
        <x:v>2012-02</x:v>
      </x:c>
      <x:c r="B331" s="75" t="n">
        <x:v>-0.02142</x:v>
      </x:c>
      <x:c r="C331" s="75" t="n">
        <x:v>25.95567</x:v>
      </x:c>
    </x:row>
    <x:row r="332">
      <x:c r="A332" t="str">
        <x:v>2012-03</x:v>
      </x:c>
      <x:c r="B332" s="75" t="n">
        <x:v>-0.32445</x:v>
      </x:c>
      <x:c r="C332" s="75" t="n">
        <x:v>26.36915</x:v>
      </x:c>
    </x:row>
    <x:row r="333">
      <x:c r="A333" t="str">
        <x:v>2012-04</x:v>
      </x:c>
      <x:c r="B333" s="75" t="n">
        <x:v>-0.37354</x:v>
      </x:c>
      <x:c r="C333" s="75" t="n">
        <x:v>26.83862</x:v>
      </x:c>
    </x:row>
    <x:row r="334">
      <x:c r="A334" t="str">
        <x:v>2012-05</x:v>
      </x:c>
      <x:c r="B334" s="75" t="n">
        <x:v>0.38231</x:v>
      </x:c>
      <x:c r="C334" s="75" t="n">
        <x:v>26.5403</x:v>
      </x:c>
    </x:row>
    <x:row r="335">
      <x:c r="A335" t="str">
        <x:v>2012-06</x:v>
      </x:c>
      <x:c r="B335" s="75" t="n">
        <x:v>-0.1312</x:v>
      </x:c>
      <x:c r="C335" s="75" t="n">
        <x:v>26.76697</x:v>
      </x:c>
    </x:row>
    <x:row r="336">
      <x:c r="A336" t="str">
        <x:v>2012-07</x:v>
      </x:c>
      <x:c r="B336" s="75" t="n">
        <x:v>-0.86444</x:v>
      </x:c>
      <x:c r="C336" s="75" t="n">
        <x:v>27.75715</x:v>
      </x:c>
    </x:row>
    <x:row r="337">
      <x:c r="A337" t="str">
        <x:v>2012-08</x:v>
      </x:c>
      <x:c r="B337" s="75" t="n">
        <x:v>-0.77362</x:v>
      </x:c>
      <x:c r="C337" s="75" t="n">
        <x:v>28.67359</x:v>
      </x:c>
    </x:row>
    <x:row r="338">
      <x:c r="A338" t="str">
        <x:v>2012-09</x:v>
      </x:c>
      <x:c r="B338" s="75" t="n">
        <x:v>-0.61813</x:v>
      </x:c>
      <x:c r="C338" s="75" t="n">
        <x:v>29.44156</x:v>
      </x:c>
    </x:row>
    <x:row r="339">
      <x:c r="A339" t="str">
        <x:v>2012-10</x:v>
      </x:c>
      <x:c r="B339" s="75" t="n">
        <x:v>-0.4301</x:v>
      </x:c>
      <x:c r="C339" s="75" t="n">
        <x:v>30.01827</x:v>
      </x:c>
    </x:row>
    <x:row r="340">
      <x:c r="A340" t="str">
        <x:v>2012-11</x:v>
      </x:c>
      <x:c r="B340" s="75" t="n">
        <x:v>-0.45168</x:v>
      </x:c>
      <x:c r="C340" s="75" t="n">
        <x:v>30.62803</x:v>
      </x:c>
    </x:row>
    <x:row r="341">
      <x:c r="A341" t="str">
        <x:v>2012-12</x:v>
      </x:c>
      <x:c r="B341" s="75" t="n">
        <x:v>-0.96936</x:v>
      </x:c>
      <x:c r="C341" s="75" t="n">
        <x:v>31.82939</x:v>
      </x:c>
    </x:row>
    <x:row r="342">
      <x:c r="A342" t="str">
        <x:v>2013-01</x:v>
      </x:c>
      <x:c r="B342" s="75" t="n">
        <x:v>-0.11126</x:v>
      </x:c>
      <x:c r="C342" s="75" t="n">
        <x:v>32.0785</x:v>
      </x:c>
    </x:row>
    <x:row r="343">
      <x:c r="A343" t="str">
        <x:v>2013-02</x:v>
      </x:c>
      <x:c r="B343" s="75" t="n">
        <x:v>0.03555</x:v>
      </x:c>
      <x:c r="C343" s="75" t="n">
        <x:v>32.16367</x:v>
      </x:c>
    </x:row>
    <x:row r="344">
      <x:c r="A344" t="str">
        <x:v>2013-03</x:v>
      </x:c>
      <x:c r="B344" s="75" t="n">
        <x:v>0.55213</x:v>
      </x:c>
      <x:c r="C344" s="75" t="n">
        <x:v>31.66315</x:v>
      </x:c>
    </x:row>
    <x:row r="345">
      <x:c r="A345" t="str">
        <x:v>2013-04</x:v>
      </x:c>
      <x:c r="B345" s="75" t="n">
        <x:v>1.12059</x:v>
      </x:c>
      <x:c r="C345" s="75" t="n">
        <x:v>30.52946</x:v>
      </x:c>
    </x:row>
    <x:row r="346">
      <x:c r="A346" t="str">
        <x:v>2013-05</x:v>
      </x:c>
      <x:c r="B346" s="75" t="n">
        <x:v>-0.08767</x:v>
      </x:c>
      <x:c r="C346" s="75" t="n">
        <x:v>30.75245</x:v>
      </x:c>
    </x:row>
    <x:row r="347">
      <x:c r="A347" t="str">
        <x:v>2013-06</x:v>
      </x:c>
      <x:c r="B347" s="75" t="n">
        <x:v>-1.03011</x:v>
      </x:c>
      <x:c r="C347" s="75" t="n">
        <x:v>32.04996</x:v>
      </x:c>
    </x:row>
    <x:row r="348">
      <x:c r="A348" t="str">
        <x:v>2013-07</x:v>
      </x:c>
      <x:c r="B348" s="75" t="n">
        <x:v>-0.33639</x:v>
      </x:c>
      <x:c r="C348" s="75" t="n">
        <x:v>32.57318</x:v>
      </x:c>
    </x:row>
    <x:row r="349">
      <x:c r="A349" t="str">
        <x:v>2013-08</x:v>
      </x:c>
      <x:c r="B349" s="75" t="n">
        <x:v>-0.17263</x:v>
      </x:c>
      <x:c r="C349" s="75" t="n">
        <x:v>32.91322</x:v>
      </x:c>
    </x:row>
    <x:row r="350">
      <x:c r="A350" t="str">
        <x:v>2013-09</x:v>
      </x:c>
      <x:c r="B350" s="75" t="n">
        <x:v>-0.56127</x:v>
      </x:c>
      <x:c r="C350" s="75" t="n">
        <x:v>33.71651</x:v>
      </x:c>
    </x:row>
    <x:row r="351">
      <x:c r="A351" t="str">
        <x:v>2013-10</x:v>
      </x:c>
      <x:c r="B351" s="75" t="n">
        <x:v>-0.34653</x:v>
      </x:c>
      <x:c r="C351" s="75" t="n">
        <x:v>34.27755</x:v>
      </x:c>
    </x:row>
    <x:row r="352">
      <x:c r="A352" t="str">
        <x:v>2013-11</x:v>
      </x:c>
      <x:c r="B352" s="75" t="n">
        <x:v>-0.85742</x:v>
      </x:c>
      <x:c r="C352" s="75" t="n">
        <x:v>35.46757</x:v>
      </x:c>
    </x:row>
    <x:row r="353">
      <x:c r="A353" t="str">
        <x:v>2013-12</x:v>
      </x:c>
      <x:c r="B353" s="75" t="n">
        <x:v>-0.95101</x:v>
      </x:c>
      <x:c r="C353" s="75" t="n">
        <x:v>36.80163</x:v>
      </x:c>
    </x:row>
    <x:row r="354">
      <x:c r="A354" t="str">
        <x:v>2014-01</x:v>
      </x:c>
      <x:c r="B354" s="75" t="n">
        <x:v>0.01263</x:v>
      </x:c>
      <x:c r="C354" s="75" t="n">
        <x:v>36.95424</x:v>
      </x:c>
    </x:row>
    <x:row r="355">
      <x:c r="A355" t="str">
        <x:v>2014-02</x:v>
      </x:c>
      <x:c r="B355" s="75" t="n">
        <x:v>-0.59111</x:v>
      </x:c>
      <x:c r="C355" s="75" t="n">
        <x:v>37.8717</x:v>
      </x:c>
    </x:row>
    <x:row r="356">
      <x:c r="A356" t="str">
        <x:v>2014-03</x:v>
      </x:c>
      <x:c r="B356" s="75" t="n">
        <x:v>0.85959</x:v>
      </x:c>
      <x:c r="C356" s="75" t="n">
        <x:v>36.96245</x:v>
      </x:c>
    </x:row>
    <x:row r="357">
      <x:c r="A357" t="str">
        <x:v>2014-04</x:v>
      </x:c>
      <x:c r="B357" s="75" t="n">
        <x:v>-0.18908</x:v>
      </x:c>
      <x:c r="C357" s="75" t="n">
        <x:v>37.37778</x:v>
      </x:c>
    </x:row>
    <x:row r="358">
      <x:c r="A358" t="str">
        <x:v>2014-05</x:v>
      </x:c>
      <x:c r="B358" s="75" t="n">
        <x:v>-0.02164</x:v>
      </x:c>
      <x:c r="C358" s="75" t="n">
        <x:v>37.58613</x:v>
      </x:c>
    </x:row>
    <x:row r="359">
      <x:c r="A359" t="str">
        <x:v>2014-06</x:v>
      </x:c>
      <x:c r="B359" s="75" t="n">
        <x:v>1.18354</x:v>
      </x:c>
      <x:c r="C359" s="75" t="n">
        <x:v>36.27217</x:v>
      </x:c>
    </x:row>
    <x:row r="360">
      <x:c r="A360" t="str">
        <x:v>2014-07</x:v>
      </x:c>
      <x:c r="B360" s="75" t="n">
        <x:v>-1.04596</x:v>
      </x:c>
      <x:c r="C360" s="75" t="n">
        <x:v>37.78175</x:v>
      </x:c>
    </x:row>
    <x:row r="361">
      <x:c r="A361" t="str">
        <x:v>2014-08</x:v>
      </x:c>
      <x:c r="B361" s="75" t="n">
        <x:v>0.20982</x:v>
      </x:c>
      <x:c r="C361" s="75" t="n">
        <x:v>37.70237</x:v>
      </x:c>
    </x:row>
    <x:row r="362">
      <x:c r="A362" t="str">
        <x:v>2014-09</x:v>
      </x:c>
      <x:c r="B362" s="75" t="n">
        <x:v>0.28342</x:v>
      </x:c>
      <x:c r="C362" s="75" t="n">
        <x:v>37.53026</x:v>
      </x:c>
    </x:row>
    <x:row r="363">
      <x:c r="A363" t="str">
        <x:v>2014-10</x:v>
      </x:c>
      <x:c r="B363" s="75" t="n">
        <x:v>-0.02479</x:v>
      </x:c>
      <x:c r="C363" s="75" t="n">
        <x:v>37.75684</x:v>
      </x:c>
    </x:row>
    <x:row r="364">
      <x:c r="A364" t="str">
        <x:v>2014-11</x:v>
      </x:c>
      <x:c r="B364" s="75" t="n">
        <x:v>-0.07657</x:v>
      </x:c>
      <x:c r="C364" s="75" t="n">
        <x:v>38.05479</x:v>
      </x:c>
    </x:row>
    <x:row r="365">
      <x:c r="A365" t="str">
        <x:v>2014-12</x:v>
      </x:c>
      <x:c r="B365" s="75" t="n">
        <x:v>-0.46153</x:v>
      </x:c>
      <x:c r="C365" s="75" t="n">
        <x:v>38.86321</x:v>
      </x:c>
    </x:row>
    <x:row r="366">
      <x:c r="A366" t="str">
        <x:v>2015-01</x:v>
      </x:c>
      <x:c r="B366" s="75" t="n">
        <x:v>0.13177</x:v>
      </x:c>
      <x:c r="C366" s="75" t="n">
        <x:v>38.89891</x:v>
      </x:c>
    </x:row>
    <x:row r="367">
      <x:c r="A367" t="str">
        <x:v>2015-02</x:v>
      </x:c>
      <x:c r="B367" s="75" t="n">
        <x:v>0.13524</x:v>
      </x:c>
      <x:c r="C367" s="75" t="n">
        <x:v>38.93255</x:v>
      </x:c>
    </x:row>
    <x:row r="368">
      <x:c r="A368" t="str">
        <x:v>2015-03</x:v>
      </x:c>
      <x:c r="B368" s="75" t="n">
        <x:v>0.22505</x:v>
      </x:c>
      <x:c r="C368" s="75" t="n">
        <x:v>38.84943</x:v>
      </x:c>
    </x:row>
    <x:row r="369">
      <x:c r="A369" t="str">
        <x:v>2015-04</x:v>
      </x:c>
      <x:c r="B369" s="75" t="n">
        <x:v>0.05072</x:v>
      </x:c>
      <x:c r="C369" s="75" t="n">
        <x:v>39.00057</x:v>
      </x:c>
    </x:row>
    <x:row r="370">
      <x:c r="A370" t="str">
        <x:v>2015-05</x:v>
      </x:c>
      <x:c r="B370" s="75" t="n">
        <x:v>-0.67028</x:v>
      </x:c>
      <x:c r="C370" s="75" t="n">
        <x:v>40.12789</x:v>
      </x:c>
    </x:row>
    <x:row r="371">
      <x:c r="A371" t="str">
        <x:v>2015-06</x:v>
      </x:c>
      <x:c r="B371" s="75" t="n">
        <x:v>-0.4553</x:v>
      </x:c>
      <x:c r="C371" s="75" t="n">
        <x:v>40.9842</x:v>
      </x:c>
    </x:row>
    <x:row r="372">
      <x:c r="A372" t="str">
        <x:v>2015-07</x:v>
      </x:c>
      <x:c r="B372" s="75" t="n">
        <x:v>1.53655</x:v>
      </x:c>
      <x:c r="C372" s="75" t="n">
        <x:v>39.1262</x:v>
      </x:c>
    </x:row>
    <x:row r="373">
      <x:c r="A373" t="str">
        <x:v>2015-08</x:v>
      </x:c>
      <x:c r="B373" s="75" t="n">
        <x:v>1.09311</x:v>
      </x:c>
      <x:c r="C373" s="75" t="n">
        <x:v>37.89086</x:v>
      </x:c>
    </x:row>
    <x:row r="374">
      <x:c r="A374" t="str">
        <x:v>2015-09</x:v>
      </x:c>
      <x:c r="B374" s="75" t="n">
        <x:v>0.14534</x:v>
      </x:c>
      <x:c r="C374" s="75" t="n">
        <x:v>37.92535</x:v>
      </x:c>
    </x:row>
    <x:row r="375">
      <x:c r="A375" t="str">
        <x:v>2015-10</x:v>
      </x:c>
      <x:c r="B375" s="75" t="n">
        <x:v>0.06714</x:v>
      </x:c>
      <x:c r="C375" s="75" t="n">
        <x:v>38.06744</x:v>
      </x:c>
    </x:row>
    <x:row r="376">
      <x:c r="A376" t="str">
        <x:v>2015-11</x:v>
      </x:c>
      <x:c r="B376" s="75" t="n">
        <x:v>1.1789</x:v>
      </x:c>
      <x:c r="C376" s="75" t="n">
        <x:v>36.72878</x:v>
      </x:c>
    </x:row>
    <x:row r="377">
      <x:c r="A377" t="str">
        <x:v>2015-12</x:v>
      </x:c>
      <x:c r="B377" s="75" t="n">
        <x:v>0.67038</x:v>
      </x:c>
      <x:c r="C377" s="75" t="n">
        <x:v>36.07363</x:v>
      </x:c>
    </x:row>
    <x:row r="378">
      <x:c r="A378" t="str">
        <x:v>2016-01</x:v>
      </x:c>
      <x:c r="B378" s="75" t="n">
        <x:v>0.62259</x:v>
      </x:c>
      <x:c r="C378" s="75" t="n">
        <x:v>35.48518</x:v>
      </x:c>
    </x:row>
    <x:row r="379">
      <x:c r="A379" t="str">
        <x:v>2016-02</x:v>
      </x:c>
      <x:c r="B379" s="75" t="n">
        <x:v>0.32514</x:v>
      </x:c>
      <x:c r="C379" s="75" t="n">
        <x:v>35.28834</x:v>
      </x:c>
    </x:row>
    <x:row r="380">
      <x:c r="A380" t="str">
        <x:v>2016-03</x:v>
      </x:c>
      <x:c r="B380" s="75" t="n">
        <x:v>1.11471</x:v>
      </x:c>
      <x:c r="C380" s="75" t="n">
        <x:v>34.06741</x:v>
      </x:c>
    </x:row>
    <x:row r="381">
      <x:c r="A381" t="str">
        <x:v>2016-04</x:v>
      </x:c>
      <x:c r="B381" s="75" t="n">
        <x:v>2.28883</x:v>
      </x:c>
      <x:c r="C381" s="75" t="n">
        <x:v>31.38734</x:v>
      </x:c>
    </x:row>
    <x:row r="382">
      <x:c r="A382" t="str">
        <x:v>2016-05</x:v>
      </x:c>
      <x:c r="B382" s="75" t="n">
        <x:v>1.08144</x:v>
      </x:c>
      <x:c r="C382" s="75" t="n">
        <x:v>30.26169</x:v>
      </x:c>
    </x:row>
    <x:row r="383">
      <x:c r="A383" t="str">
        <x:v>2016-06</x:v>
      </x:c>
      <x:c r="B383" s="75" t="n">
        <x:v>0.78606</x:v>
      </x:c>
      <x:c r="C383" s="75" t="n">
        <x:v>29.50836</x:v>
      </x:c>
    </x:row>
    <x:row r="384">
      <x:c r="A384" t="str">
        <x:v>2016-07</x:v>
      </x:c>
      <x:c r="B384" s="75" t="n">
        <x:v>0.30718</x:v>
      </x:c>
      <x:c r="C384" s="75" t="n">
        <x:v>29.33966</x:v>
      </x:c>
    </x:row>
    <x:row r="385">
      <x:c r="A385" t="str">
        <x:v>2016-08</x:v>
      </x:c>
      <x:c r="B385" s="75" t="n">
        <x:v>-0.92842</x:v>
      </x:c>
      <x:c r="C385" s="75" t="n">
        <x:v>30.69167</x:v>
      </x:c>
    </x:row>
    <x:row r="386">
      <x:c r="A386" t="str">
        <x:v>2016-09</x:v>
      </x:c>
      <x:c r="B386" s="75" t="n">
        <x:v>0.68952</x:v>
      </x:c>
      <x:c r="C386" s="75" t="n">
        <x:v>30.05259</x:v>
      </x:c>
    </x:row>
    <x:row r="387">
      <x:c r="A387" t="str">
        <x:v>2016-10</x:v>
      </x:c>
      <x:c r="B387" s="75" t="n">
        <x:v>0.02535</x:v>
      </x:c>
      <x:c r="C387" s="75" t="n">
        <x:v>30.23912</x:v>
      </x:c>
    </x:row>
    <x:row r="388">
      <x:c r="A388" t="str">
        <x:v>2017-01</x:v>
      </x:c>
      <x:c r="B388" s="75" t="n">
        <x:v>0.47487</x:v>
      </x:c>
      <x:c r="C388" s="75" t="n">
        <x:v>29.8692</x:v>
      </x:c>
    </x:row>
    <x:row r="389">
      <x:c r="A389" t="str">
        <x:v>2017-02</x:v>
      </x:c>
      <x:c r="B389" s="75" t="n">
        <x:v>-0.14011</x:v>
      </x:c>
      <x:c r="C389" s="75" t="n">
        <x:v>30.26787</x:v>
      </x:c>
    </x:row>
    <x:row r="390">
      <x:c r="A390" t="str">
        <x:v>2017-03</x:v>
      </x:c>
      <x:c r="B390" s="75" t="n">
        <x:v>-0.18707</x:v>
      </x:c>
      <x:c r="C390" s="75" t="n">
        <x:v>30.73426</x:v>
      </x:c>
    </x:row>
    <x:row r="391">
      <x:c r="A391" t="str">
        <x:v>2017-04</x:v>
      </x:c>
      <x:c r="B391" s="75" t="n">
        <x:v>-0.58874</x:v>
      </x:c>
      <x:c r="C391" s="75" t="n">
        <x:v>31.72814</x:v>
      </x:c>
    </x:row>
    <x:row r="392">
      <x:c r="A392" t="str">
        <x:v>2017-05</x:v>
      </x:c>
      <x:c r="B392" s="75" t="n">
        <x:v>1.70289</x:v>
      </x:c>
      <x:c r="C392" s="75" t="n">
        <x:v>29.793</x:v>
      </x:c>
    </x:row>
    <x:row r="393">
      <x:c r="A393" t="str">
        <x:v>2017-06</x:v>
      </x:c>
      <x:c r="B393" s="75" t="n">
        <x:v>1.74001</x:v>
      </x:c>
      <x:c r="C393" s="75" t="n">
        <x:v>27.8613</x:v>
      </x:c>
    </x:row>
    <x:row r="394">
      <x:c r="A394" t="str">
        <x:v>2017-07</x:v>
      </x:c>
      <x:c r="B394" s="75" t="n">
        <x:v>-0.50965</x:v>
      </x:c>
      <x:c r="C394" s="75" t="n">
        <x:v>28.71687</x:v>
      </x:c>
    </x:row>
    <x:row r="395">
      <x:c r="A395" t="str">
        <x:v>2017-08</x:v>
      </x:c>
      <x:c r="B395" s="75" t="n">
        <x:v>1.63947</x:v>
      </x:c>
      <x:c r="C395" s="75" t="n">
        <x:v>26.92828</x:v>
      </x:c>
    </x:row>
    <x:row r="396">
      <x:c r="A396" t="str">
        <x:v>2017-09</x:v>
      </x:c>
      <x:c r="B396" s="75" t="n">
        <x:v>0.70576</x:v>
      </x:c>
      <x:c r="C396" s="75" t="n">
        <x:v>26.29604</x:v>
      </x:c>
    </x:row>
    <x:row r="397">
      <x:c r="A397" t="str">
        <x:v>2017-10</x:v>
      </x:c>
      <x:c r="B397" s="75" t="n">
        <x:v>0.00864</x:v>
      </x:c>
      <x:c r="C397" s="75" t="n">
        <x:v>26.50671</x:v>
      </x:c>
    </x:row>
    <x:row r="398">
      <x:c r="A398" t="str">
        <x:v>2017-11</x:v>
      </x:c>
      <x:c r="B398" s="75" t="n">
        <x:v>-0.71962</x:v>
      </x:c>
      <x:c r="C398" s="75" t="n">
        <x:v>27.61996</x:v>
      </x:c>
    </x:row>
    <x:row r="399">
      <x:c r="A399" t="str">
        <x:v>2017-12</x:v>
      </x:c>
      <x:c r="B399" s="75" t="n">
        <x:v>0.48071</x:v>
      </x:c>
      <x:c r="C399" s="75" t="n">
        <x:v>27.26019</x:v>
      </x:c>
    </x:row>
    <x:row r="400">
      <x:c r="A400" t="str">
        <x:v>2018-01</x:v>
      </x:c>
      <x:c r="B400" s="75" t="n">
        <x:v>1.0467</x:v>
      </x:c>
      <x:c r="C400" s="75" t="n">
        <x:v>26.20667</x:v>
      </x:c>
    </x:row>
    <x:row r="401">
      <x:c r="A401" t="str">
        <x:v>2018-02</x:v>
      </x:c>
      <x:c r="B401" s="75" t="n">
        <x:v>-0.00243</x:v>
      </x:c>
      <x:c r="C401" s="75" t="n">
        <x:v>26.44395</x:v>
      </x:c>
    </x:row>
    <x:row r="402">
      <x:c r="A402" t="str">
        <x:v>2018-03</x:v>
      </x:c>
      <x:c r="B402" s="75" t="n">
        <x:v>-0.09549</x:v>
      </x:c>
      <x:c r="C402" s="75" t="n">
        <x:v>26.80289</x:v>
      </x:c>
    </x:row>
    <x:row r="403">
      <x:c r="A403" t="str">
        <x:v>2018-04</x:v>
      </x:c>
      <x:c r="B403" s="75" t="n">
        <x:v>-0.85313</x:v>
      </x:c>
      <x:c r="C403" s="75" t="n">
        <x:v>28.13339</x:v>
      </x:c>
    </x:row>
    <x:row r="404">
      <x:c r="A404" t="str">
        <x:v>2018-05</x:v>
      </x:c>
      <x:c r="B404" s="75" t="n">
        <x:v>0.63089</x:v>
      </x:c>
      <x:c r="C404" s="75" t="n">
        <x:v>27.58629</x:v>
      </x:c>
    </x:row>
    <x:row r="405">
      <x:c r="A405" t="str">
        <x:v>2018-06</x:v>
      </x:c>
      <x:c r="B405" s="75" t="n">
        <x:v>-0.77328</x:v>
      </x:c>
      <x:c r="C405" s="75" t="n">
        <x:v>28.85359</x:v>
      </x:c>
    </x:row>
    <x:row r="406">
      <x:c r="A406" t="str">
        <x:v>2018-07</x:v>
      </x:c>
      <x:c r="B406" s="75" t="n">
        <x:v>-0.91394</x:v>
      </x:c>
      <x:c r="C406" s="75" t="n">
        <x:v>30.3548</x:v>
      </x:c>
    </x:row>
    <x:row r="407">
      <x:c r="A407" t="str">
        <x:v>2018-08</x:v>
      </x:c>
      <x:c r="B407" s="75" t="n">
        <x:v>-0.88289</x:v>
      </x:c>
      <x:c r="C407" s="75" t="n">
        <x:v>31.86944</x:v>
      </x:c>
    </x:row>
    <x:row r="408">
      <x:c r="A408" t="str">
        <x:v>2018-09</x:v>
      </x:c>
      <x:c r="B408" s="75" t="n">
        <x:v>-0.58564</x:v>
      </x:c>
      <x:c r="C408" s="75" t="n">
        <x:v>33.0158</x:v>
      </x:c>
    </x:row>
    <x:row r="409">
      <x:c r="A409" t="str">
        <x:v>2018-10</x:v>
      </x:c>
      <x:c r="B409" s="75" t="n">
        <x:v>-0.40085</x:v>
      </x:c>
      <x:c r="C409" s="75" t="n">
        <x:v>33.92963</x:v>
      </x:c>
    </x:row>
    <x:row r="410">
      <x:c r="A410" t="str">
        <x:v>2018-11</x:v>
      </x:c>
      <x:c r="B410" s="75" t="n">
        <x:v>1.17125</x:v>
      </x:c>
      <x:c r="C410" s="75" t="n">
        <x:v>32.58566</x:v>
      </x:c>
    </x:row>
    <x:row r="411">
      <x:c r="A411" t="str">
        <x:v>2018-12</x:v>
      </x:c>
      <x:c r="B411" s="75" t="n">
        <x:v>0.1136</x:v>
      </x:c>
      <x:c r="C411" s="75" t="n">
        <x:v>32.76382</x:v>
      </x:c>
    </x:row>
    <x:row r="412">
      <x:c r="A412" t="str">
        <x:v>2019-01</x:v>
      </x:c>
      <x:c r="B412" s="75" t="n">
        <x:v>-0.13509</x:v>
      </x:c>
      <x:c r="C412" s="75" t="n">
        <x:v>33.31019</x:v>
      </x:c>
    </x:row>
    <x:row r="413">
      <x:c r="A413" t="str">
        <x:v>2019-02</x:v>
      </x:c>
      <x:c r="B413" s="75" t="n">
        <x:v>1.03251</x:v>
      </x:c>
      <x:c r="C413" s="75" t="n">
        <x:v>32.16588</x:v>
      </x:c>
    </x:row>
    <x:row r="414">
      <x:c r="A414" t="str">
        <x:v>2019-03</x:v>
      </x:c>
      <x:c r="B414" s="75" t="n">
        <x:v>-0.32445</x:v>
      </x:c>
      <x:c r="C414" s="75" t="n">
        <x:v>32.99546</x:v>
      </x:c>
    </x:row>
    <x:row r="415">
      <x:c r="A415" t="str">
        <x:v>2019-04</x:v>
      </x:c>
      <x:c r="B415" s="75" t="n">
        <x:v>-0.52111</x:v>
      </x:c>
      <x:c r="C415" s="75" t="n">
        <x:v>34.144</x:v>
      </x:c>
    </x:row>
    <x:row r="416">
      <x:c r="A416" t="str">
        <x:v>2019-05</x:v>
      </x:c>
      <x:c r="B416" s="75" t="n">
        <x:v>1.63298</x:v>
      </x:c>
      <x:c r="C416" s="75" t="n">
        <x:v>32.09807</x:v>
      </x:c>
    </x:row>
    <x:row r="417">
      <x:c r="A417" t="str">
        <x:v>2019-08</x:v>
      </x:c>
      <x:c r="B417" s="75" t="n">
        <x:v>-0.291</x:v>
      </x:c>
      <x:c r="C417" s="75" t="n">
        <x:v>32.90369</x:v>
      </x:c>
    </x:row>
    <x:row r="418">
      <x:c r="A418" t="str">
        <x:v>2019-09</x:v>
      </x:c>
      <x:c r="B418" s="75" t="n">
        <x:v>0.06412</x:v>
      </x:c>
      <x:c r="C418" s="75" t="n">
        <x:v>33.19624</x:v>
      </x:c>
    </x:row>
    <x:row r="419">
      <x:c r="A419" t="str">
        <x:v>2019-10</x:v>
      </x:c>
      <x:c r="B419" s="75" t="n">
        <x:v>0.38471</x:v>
      </x:c>
      <x:c r="C419" s="75" t="n">
        <x:v>33.01193</x:v>
      </x:c>
    </x:row>
    <x:row r="420">
      <x:c r="A420" t="str">
        <x:v>2019-11</x:v>
      </x:c>
      <x:c r="B420" s="75" t="n">
        <x:v>-0.09954</x:v>
      </x:c>
      <x:c r="C420" s="75" t="n">
        <x:v>33.56917</x:v>
      </x:c>
    </x:row>
    <x:row r="421">
      <x:c r="A421" t="str">
        <x:v>2019-12</x:v>
      </x:c>
      <x:c r="B421" s="75" t="n">
        <x:v>0.909</x:v>
      </x:c>
      <x:c r="C421" s="75" t="n">
        <x:v>32.59152</x:v>
      </x:c>
    </x:row>
    <x:row r="422">
      <x:c r="A422" t="str">
        <x:v>2020-01</x:v>
      </x:c>
      <x:c r="B422" s="75" t="n">
        <x:v>0.85609</x:v>
      </x:c>
      <x:c r="C422" s="75" t="n">
        <x:v>31.70092</x:v>
      </x:c>
    </x:row>
    <x:row r="423">
      <x:c r="A423" t="str">
        <x:v>2020-02</x:v>
      </x:c>
      <x:c r="B423" s="75" t="n">
        <x:v>-0.0689</x:v>
      </x:c>
      <x:c r="C423" s="75" t="n">
        <x:v>32.21702</x:v>
      </x:c>
    </x:row>
    <x:row r="424">
      <x:c r="A424" t="str">
        <x:v>2020-03</x:v>
      </x:c>
      <x:c r="B424" s="75" t="n">
        <x:v>0.51288</x:v>
      </x:c>
      <x:c r="C424" s="75" t="n">
        <x:v>31.85152</x:v>
      </x:c>
    </x:row>
    <x:row r="425">
      <x:c r="A425" t="str">
        <x:v>2020-04</x:v>
      </x:c>
      <x:c r="B425" s="75" t="n">
        <x:v>-0.67482</x:v>
      </x:c>
      <x:c r="C425" s="75" t="n">
        <x:v>33.3366</x:v>
      </x:c>
    </x:row>
    <x:row r="426">
      <x:c r="A426" t="str">
        <x:v>2020-05</x:v>
      </x:c>
      <x:c r="B426" s="75" t="n">
        <x:v>0.19587</x:v>
      </x:c>
      <x:c r="C426" s="75" t="n">
        <x:v>33.48118</x:v>
      </x:c>
    </x:row>
    <x:row r="427">
      <x:c r="A427" t="str">
        <x:v>2020-06</x:v>
      </x:c>
      <x:c r="B427" s="75" t="n">
        <x:v>0.79217</x:v>
      </x:c>
      <x:c r="C427" s="75" t="n">
        <x:v>32.68228</x:v>
      </x:c>
    </x:row>
    <x:row r="428">
      <x:c r="A428" t="str">
        <x:v>2020-07</x:v>
      </x:c>
      <x:c r="B428" s="75" t="n">
        <x:v>1.89959</x:v>
      </x:c>
      <x:c r="C428" s="75" t="n">
        <x:v>30.16617</x:v>
      </x:c>
    </x:row>
    <x:row r="429">
      <x:c r="A429" t="str">
        <x:v>2020-08</x:v>
      </x:c>
      <x:c r="B429" s="75" t="n">
        <x:v>-0.2819</x:v>
      </x:c>
      <x:c r="C429" s="75" t="n">
        <x:v>31.0451</x:v>
      </x:c>
    </x:row>
    <x:row r="430">
      <x:c r="A430" t="str">
        <x:v>2020-09</x:v>
      </x:c>
      <x:c r="B430" s="75" t="n">
        <x:v>-0.4963</x:v>
      </x:c>
      <x:c r="C430" s="75" t="n">
        <x:v>32.29994</x:v>
      </x:c>
    </x:row>
    <x:row r="431">
      <x:c r="A431" t="str">
        <x:v>2020-10</x:v>
      </x:c>
      <x:c r="B431" s="75" t="n">
        <x:v>-0.25879</x:v>
      </x:c>
      <x:c r="C431" s="75" t="n">
        <x:v>33.21366</x:v>
      </x:c>
    </x:row>
    <x:row r="432">
      <x:c r="A432" t="str">
        <x:v>2020-11</x:v>
      </x:c>
      <x:c r="B432" s="75" t="n">
        <x:v>-0.58948</x:v>
      </x:c>
      <x:c r="C432" s="75" t="n">
        <x:v>34.71917</x:v>
      </x:c>
    </x:row>
    <x:row r="433">
      <x:c r="A433" t="str">
        <x:v>2020-12</x:v>
      </x:c>
      <x:c r="B433" s="75" t="n">
        <x:v>0.10136</x:v>
      </x:c>
      <x:c r="C433" s="75" t="n">
        <x:v>35.0936</x:v>
      </x:c>
    </x:row>
    <x:row r="434">
      <x:c r="A434" t="str">
        <x:v>2021-01</x:v>
      </x:c>
      <x:c r="B434" s="75" t="n">
        <x:v>0.73219</x:v>
      </x:c>
      <x:c r="C434" s="75" t="n">
        <x:v>34.39426</x:v>
      </x:c>
    </x:row>
    <x:row r="435">
      <x:c r="A435" t="str">
        <x:v>2021-02</x:v>
      </x:c>
      <x:c r="B435" s="75" t="n">
        <x:v>-0.36324</x:v>
      </x:c>
      <x:c r="C435" s="75" t="n">
        <x:v>35.59717</x:v>
      </x:c>
    </x:row>
    <x:row r="436">
      <x:c r="A436" t="str">
        <x:v>2021-03</x:v>
      </x:c>
      <x:c r="B436" s="75" t="n">
        <x:v>1.55954</x:v>
      </x:c>
      <x:c r="C436" s="75" t="n">
        <x:v>33.46435</x:v>
      </x:c>
    </x:row>
    <x:row r="437">
      <x:c r="A437" t="str">
        <x:v>2021-04</x:v>
      </x:c>
      <x:c r="B437" s="75" t="n">
        <x:v>-0.3305</x:v>
      </x:c>
      <x:c r="C437" s="75" t="n">
        <x:v>34.62163</x:v>
      </x:c>
    </x:row>
    <x:row r="438">
      <x:c r="A438" t="str">
        <x:v>2021-05</x:v>
      </x:c>
      <x:c r="B438" s="75" t="n">
        <x:v>-0.91886</x:v>
      </x:c>
      <x:c r="C438" s="75" t="n">
        <x:v>36.89998</x:v>
      </x:c>
    </x:row>
    <x:row r="439">
      <x:c r="A439" t="str">
        <x:v>2021-06</x:v>
      </x:c>
      <x:c r="B439" s="75" t="n">
        <x:v>0.05837</x:v>
      </x:c>
      <x:c r="C439" s="75" t="n">
        <x:v>37.45728</x:v>
      </x:c>
    </x:row>
    <x:row r="440">
      <x:c r="A440" t="str">
        <x:v>2021-07</x:v>
      </x:c>
      <x:c r="B440" s="75" t="n">
        <x:v>-0.68292</x:v>
      </x:c>
      <x:c r="C440" s="75"/>
    </x:row>
    <x:row r="441">
      <x:c r="A441" t="str">
        <x:v>2021-08</x:v>
      </x:c>
      <x:c r="B441" s="75" t="n">
        <x:v>0.89277</x:v>
      </x:c>
      <x:c r="C441" s="75"/>
    </x:row>
    <x:row r="442">
      <x:c r="A442" t="str">
        <x:v>2021-09</x:v>
      </x:c>
      <x:c r="B442" s="75" t="n">
        <x:v>0.97379</x:v>
      </x:c>
      <x:c r="C442" s="75"/>
    </x:row>
    <x:row r="443">
      <x:c r="A443" t="str">
        <x:v>2021-10</x:v>
      </x:c>
      <x:c r="B443" s="75" t="n">
        <x:v>-0.09582</x:v>
      </x:c>
      <x:c r="C443" s="75"/>
    </x:row>
    <x:row r="444">
      <x:c r="A444" t="str">
        <x:v>2021-11</x:v>
      </x:c>
      <x:c r="B444" s="75" t="n">
        <x:v>-0.48996</x:v>
      </x:c>
      <x:c r="C444" s="75"/>
    </x:row>
    <x:row r="445">
      <x:c r="A445" t="str">
        <x:v>2021-12</x:v>
      </x:c>
      <x:c r="B445" s="75" t="n">
        <x:v>0.44399</x:v>
      </x:c>
      <x:c r="C445" s="75"/>
    </x:row>
    <x:row r="446">
      <x:c r="A446" t="str">
        <x:v>2022-01</x:v>
      </x:c>
      <x:c r="B446" s="75" t="n">
        <x:v>0.50822</x:v>
      </x:c>
      <x:c r="C446" s="75"/>
    </x:row>
    <x:row r="447">
      <x:c r="A447" t="str">
        <x:v>2022-02</x:v>
      </x:c>
      <x:c r="B447" s="75" t="n">
        <x:v>0.0403</x:v>
      </x:c>
      <x:c r="C447" s="75"/>
    </x:row>
    <x:row r="448">
      <x:c r="A448" t="str">
        <x:v>2022-03</x:v>
      </x:c>
      <x:c r="B448" s="75" t="n">
        <x:v>0.56521</x:v>
      </x:c>
      <x:c r="C448" s="75"/>
    </x:row>
    <x:row r="449">
      <x:c r="A449" t="str">
        <x:v>2022-04</x:v>
      </x:c>
      <x:c r="B449" s="75" t="n">
        <x:v>1.08369</x:v>
      </x:c>
      <x:c r="C449" s="75"/>
    </x:row>
    <x:row r="450">
      <x:c r="A450" t="str">
        <x:v>2022-05</x:v>
      </x:c>
      <x:c r="B450" s="75" t="n">
        <x:v>0.61535</x:v>
      </x:c>
      <x:c r="C450" s="75"/>
    </x:row>
    <x:row r="451">
      <x:c r="A451" t="str">
        <x:v>2022-06</x:v>
      </x:c>
      <x:c r="B451" s="75" t="n">
        <x:v>1.80727</x:v>
      </x:c>
      <x:c r="C451" s="75"/>
    </x:row>
    <x:row r="452">
      <x:c r="A452" t="str">
        <x:v>2022-07</x:v>
      </x:c>
      <x:c r="B452" s="75" t="n">
        <x:v>-0.37764</x:v>
      </x:c>
      <x:c r="C452" s="75"/>
    </x:row>
    <x:row r="453">
      <x:c r="A453" t="str">
        <x:v>2022-08</x:v>
      </x:c>
      <x:c r="B453" s="75" t="n">
        <x:v>0.03681</x:v>
      </x:c>
      <x:c r="C453" s="75"/>
    </x:row>
    <x:row r="454">
      <x:c r="A454" t="str">
        <x:v>2022-09</x:v>
      </x:c>
      <x:c r="B454" s="75" t="n">
        <x:v>0.6083</x:v>
      </x:c>
      <x:c r="C454" s="75"/>
    </x:row>
    <x:row r="455">
      <x:c r="A455" t="str">
        <x:v>2022-10</x:v>
      </x:c>
      <x:c r="B455" s="75" t="n">
        <x:v>-0.61396</x:v>
      </x:c>
      <x:c r="C455" s="75"/>
    </x:row>
    <x:row r="456">
      <x:c r="A456" t="str">
        <x:v>2022-11</x:v>
      </x:c>
      <x:c r="B456" s="75" t="n">
        <x:v>-0.62776</x:v>
      </x:c>
      <x:c r="C456" s="75"/>
    </x:row>
    <x:row r="457">
      <x:c r="A457" t="str">
        <x:v>2022-12</x:v>
      </x:c>
      <x:c r="B457" s="75" t="n">
        <x:v>-0.41259</x:v>
      </x:c>
      <x:c r="C457" s="75"/>
    </x:row>
    <x:row r="458">
      <x:c r="A458" t="str">
        <x:v>2023-01</x:v>
      </x:c>
      <x:c r="B458" s="75" t="n">
        <x:v>-0.51631</x:v>
      </x:c>
      <x:c r="C458" s="75"/>
    </x:row>
    <x:row r="459">
      <x:c r="A459" t="str">
        <x:v>2023-02</x:v>
      </x:c>
      <x:c r="B459" s="75" t="n">
        <x:v>-0.53889</x:v>
      </x:c>
      <x:c r="C459" s="75"/>
    </x:row>
    <x:row r="460">
      <x:c r="A460" t="str">
        <x:v>2023-03</x:v>
      </x:c>
      <x:c r="B460" s="75" t="n">
        <x:v>0.23159</x:v>
      </x:c>
      <x:c r="C460" s="75"/>
    </x:row>
    <x:row r="461">
      <x:c r="A461" t="str">
        <x:v>2023-04</x:v>
      </x:c>
      <x:c r="B461" s="75" t="n">
        <x:v>-0.58874</x:v>
      </x:c>
      <x:c r="C461" s="75"/>
    </x:row>
    <x:row r="462">
      <x:c r="A462" t="str">
        <x:v>2023-05</x:v>
      </x:c>
      <x:c r="B462" s="75" t="n">
        <x:v>-0.09155</x:v>
      </x:c>
      <x:c r="C462" s="75"/>
    </x:row>
    <x:row r="463">
      <x:c r="A463" t="str">
        <x:v>2023-06</x:v>
      </x:c>
      <x:c r="B463" s="75" t="n">
        <x:v>1.55656</x:v>
      </x:c>
      <x:c r="C463" s="75"/>
    </x:row>
    <x:row r="464">
      <x:c r="A464" t="str">
        <x:v>2023-07</x:v>
      </x:c>
      <x:c r="B464" s="75" t="n">
        <x:v>2.25437</x:v>
      </x:c>
      <x:c r="C464" s="75"/>
    </x:row>
    <x:row r="465">
      <x:c r="A465" t="str">
        <x:v>2023-08</x:v>
      </x:c>
      <x:c r="B465" s="75" t="n">
        <x:v>0.90188</x:v>
      </x:c>
      <x:c r="C465" s="75"/>
    </x:row>
    <x:row r="466">
      <x:c r="A466" t="str">
        <x:v>2023-09</x:v>
      </x:c>
      <x:c r="B466" s="75" t="n">
        <x:v>3.40228</x:v>
      </x:c>
      <x:c r="C466" s="75"/>
    </x:row>
    <x:row r="467">
      <x:c r="A467" t="str">
        <x:v>2023-10</x:v>
      </x:c>
      <x:c r="B467" s="75" t="n">
        <x:v>5.42399</x:v>
      </x:c>
      <x:c r="C467" s="75"/>
    </x:row>
    <x:row r="468">
      <x:c r="A468" t="str">
        <x:v>2023-11</x:v>
      </x:c>
      <x:c r="B468" s="75" t="n">
        <x:v>4.11855</x:v>
      </x:c>
      <x:c r="C468" s="75"/>
    </x:row>
    <x:row r="469">
      <x:c r="A469" t="str">
        <x:v>2023-12</x:v>
      </x:c>
      <x:c r="B469" s="75" t="n">
        <x:v>3.45427</x:v>
      </x:c>
      <x:c r="C469" s="75"/>
    </x:row>
    <x:row r="470">
      <x:c r="A470" t="str">
        <x:v>2024-01</x:v>
      </x:c>
      <x:c r="B470" s="75" t="n">
        <x:v>1.35644</x:v>
      </x:c>
      <x:c r="C470" s="75"/>
    </x:row>
    <x:row r="471">
      <x:c r="A471" t="str">
        <x:v>2024-02</x:v>
      </x:c>
      <x:c r="B471" s="75" t="n">
        <x:v>4.34623</x:v>
      </x:c>
      <x:c r="C471" s="75"/>
    </x:row>
    <x:row r="472">
      <x:c r="A472" t="str">
        <x:v>2024-03</x:v>
      </x:c>
      <x:c r="B472" s="75" t="n">
        <x:v>3.41736</x:v>
      </x:c>
      <x:c r="C472" s="75"/>
    </x:row>
    <x:row r="473">
      <x:c r="A473" t="str">
        <x:v>2024-04</x:v>
      </x:c>
      <x:c r="B473" s="75" t="n">
        <x:v>0.8316</x:v>
      </x:c>
      <x:c r="C473" s="75"/>
    </x:row>
    <x:row r="474">
      <x:c r="A474" t="str">
        <x:v>2024-05</x:v>
      </x:c>
      <x:c r="B474" s="75" t="n">
        <x:v>1.74173</x:v>
      </x:c>
      <x:c r="C474" s="75"/>
    </x:row>
    <x:row r="475">
      <x:c r="A475" t="str">
        <x:v>2024-06</x:v>
      </x:c>
      <x:c r="B475" s="75" t="n">
        <x:v>1.38534</x:v>
      </x:c>
      <x:c r="C475" s="75"/>
    </x:row>
    <x:row r="476">
      <x:c r="A476" t="str">
        <x:v>2024-07</x:v>
      </x:c>
      <x:c r="B476" s="75" t="n">
        <x:v>0.60421</x:v>
      </x:c>
      <x:c r="C476" s="75"/>
    </x:row>
    <x:row r="477">
      <x:c r="A477" t="str">
        <x:v>2024-08</x:v>
      </x:c>
      <x:c r="B477" s="75" t="n">
        <x:v>0.24625</x:v>
      </x:c>
      <x:c r="C477" s="75"/>
    </x:row>
    <x:row r="478">
      <x:c r="A478" t="str">
        <x:v>2024-09</x:v>
      </x:c>
      <x:c r="B478" s="75" t="n">
        <x:v>-0.7562</x:v>
      </x:c>
      <x:c r="C478" s="75"/>
    </x:row>
    <x:row r="479">
      <x:c r="A479" t="str">
        <x:v>2024-10</x:v>
      </x:c>
      <x:c r="B479" s="75" t="n">
        <x:v>0.30531</x:v>
      </x:c>
      <x:c r="C479" s="75"/>
    </x:row>
    <x:row r="480">
      <x:c r="A480" t="str">
        <x:v>2024-11</x:v>
      </x:c>
      <x:c r="B480" s="75" t="n">
        <x:v>-0.7579</x:v>
      </x:c>
      <x:c r="C480" s="75"/>
    </x:row>
    <x:row r="481">
      <x:c r="A481" t="str">
        <x:v>2024-12</x:v>
      </x:c>
      <x:c r="B481" s="75" t="n">
        <x:v>0.1136</x:v>
      </x:c>
      <x:c r="C481" s="75"/>
    </x:row>
    <x:row r="482">
      <x:c r="A482" t="str">
        <x:v>2025-01</x:v>
      </x:c>
      <x:c r="B482" s="75" t="n">
        <x:v>0.21278</x:v>
      </x:c>
      <x:c r="C482" s="75"/>
    </x:row>
    <x:row r="483">
      <x:c r="A483" t="str">
        <x:v>2025-02</x:v>
      </x:c>
      <x:c r="B483" s="75" t="n">
        <x:v>1.92028</x:v>
      </x:c>
      <x:c r="C483" s="75"/>
    </x:row>
    <x:row r="484">
      <x:c r="A484" t="str">
        <x:v>2025-03</x:v>
      </x:c>
      <x:c r="B484" s="75" t="n">
        <x:v>-0.03008</x:v>
      </x:c>
      <x:c r="C484" s="75"/>
    </x:row>
    <x:row r="485">
      <x:c r="A485" t="str">
        <x:v>2025-04</x:v>
      </x:c>
      <x:c r="B485" s="75" t="n">
        <x:v>1.14518</x:v>
      </x:c>
      <x:c r="C485" s="75"/>
    </x:row>
    <x:row r="486">
      <x:c r="A486" t="str">
        <x:v>2025-05</x:v>
      </x:c>
      <x:c r="B486" s="75" t="n">
        <x:v>-0.91109</x:v>
      </x:c>
      <x:c r="C486" s="75"/>
    </x:row>
    <x:row r="487">
      <x:c r="A487" t="str">
        <x:v>2025-06</x:v>
      </x:c>
      <x:c r="B487" s="75" t="n">
        <x:v>0.34578</x:v>
      </x:c>
      <x:c r="C487" s="75"/>
    </x:row>
    <x:row r="488">
      <x:c r="A488" t="str">
        <x:v>2025-07</x:v>
      </x:c>
      <x:c r="B488" s="75" t="n">
        <x:v>0.74447</x:v>
      </x:c>
      <x:c r="C488" s="75"/>
    </x:row>
  </x:sheetData>
  <x:mergeCells>
    <x:mergeCell ref="A1:P2"/>
    <x:mergeCell ref="A3:P3"/>
    <x:mergeCell ref="E44:P45"/>
  </x:mergeCells>
  <x:pageMargins left="0.7" right="0.7" top="0.75" bottom="0.75" header="0.3" footer="0.3"/>
  <x:drawing xmlns:r="http://schemas.openxmlformats.org/officeDocument/2006/relationships" r:id="R4119993a03eb4bad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8" hidden="0" customWidth="1"/>
    <x:col min="5" max="5" width="20" hidden="0" customWidth="1"/>
    <x:col min="6" max="6" width="19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7" customHeight="1">
      <x:c r="A1" s="14" t="str">
        <x:v>TUMACO IDEAM • CONTROL DE COBERTURA DE PRECIPITACIÓN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 ht="27" customHeight="1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 ht="29" customHeight="1">
      <x:c r="A3" s="15" t="str">
        <x:v>Recuento de días válidos registrados por mes · criterio ≥90% de días observados para el análisis de sensibilidad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5" ht="26" customHeight="1">
      <x:c r="A5" s="53" t="str">
        <x:v>Mes</x:v>
      </x:c>
      <x:c r="B5" s="53" t="str">
        <x:v>Días observados</x:v>
      </x:c>
      <x:c r="C5" s="53" t="str">
        <x:v>Días del mes</x:v>
      </x:c>
      <x:c r="D5" s="53" t="str">
        <x:v>Cobertura</x:v>
      </x:c>
      <x:c r="E5" s="53" t="str">
        <x:v>P mensual (mm)</x:v>
      </x:c>
      <x:c r="F5" s="53" t="str">
        <x:v>Criterio ≥90%</x:v>
      </x:c>
      <x:c r="G5" s="85" t="str">
        <x:v>SIN FILTRO: n=483, SNHT T=62.300, corte 1997-06, p=0.001.</x:v>
      </x:c>
      <x:c r="H5" s="85"/>
      <x:c r="I5" s="85"/>
      <x:c r="J5" s="85"/>
      <x:c r="K5" s="85"/>
    </x:row>
    <x:row r="6" ht="26" customHeight="1">
      <x:c r="A6" s="16" t="str">
        <x:v>1985-01</x:v>
      </x:c>
      <x:c r="B6" s="16" t="n">
        <x:v>31</x:v>
      </x:c>
      <x:c r="C6" s="16" t="n">
        <x:v>31</x:v>
      </x:c>
      <x:c r="D6" s="78" t="n">
        <x:v>1</x:v>
      </x:c>
      <x:c r="E6" s="72" t="n">
        <x:v>184</x:v>
      </x:c>
      <x:c r="F6" s="16" t="str">
        <x:v>ACEPTADO</x:v>
      </x:c>
      <x:c r="G6" s="85"/>
      <x:c r="H6" s="85"/>
      <x:c r="I6" s="85"/>
      <x:c r="J6" s="85"/>
      <x:c r="K6" s="85"/>
    </x:row>
    <x:row r="7">
      <x:c r="A7" s="16" t="str">
        <x:v>1985-02</x:v>
      </x:c>
      <x:c r="B7" s="16" t="n">
        <x:v>28</x:v>
      </x:c>
      <x:c r="C7" s="16" t="n">
        <x:v>28</x:v>
      </x:c>
      <x:c r="D7" s="78" t="n">
        <x:v>1</x:v>
      </x:c>
      <x:c r="E7" s="72" t="n">
        <x:v>108.5</x:v>
      </x:c>
      <x:c r="F7" s="16" t="str">
        <x:v>ACEPTADO</x:v>
      </x:c>
      <x:c r="G7" s="16"/>
      <x:c r="H7" s="16"/>
      <x:c r="I7" s="16"/>
      <x:c r="J7" s="16"/>
      <x:c r="K7" s="16"/>
    </x:row>
    <x:row r="8" ht="27" customHeight="1">
      <x:c r="A8" s="16" t="str">
        <x:v>1985-03</x:v>
      </x:c>
      <x:c r="B8" s="16" t="n">
        <x:v>31</x:v>
      </x:c>
      <x:c r="C8" s="16" t="n">
        <x:v>31</x:v>
      </x:c>
      <x:c r="D8" s="78" t="n">
        <x:v>1</x:v>
      </x:c>
      <x:c r="E8" s="72" t="n">
        <x:v>48</x:v>
      </x:c>
      <x:c r="F8" s="16" t="str">
        <x:v>ACEPTADO</x:v>
      </x:c>
      <x:c r="G8" s="90" t="str">
        <x:v>CON COBERTURA ≥90%: n=480, SNHT T=63.083, corte 1997-06, p=0.001.</x:v>
      </x:c>
      <x:c r="H8" s="90"/>
      <x:c r="I8" s="90"/>
      <x:c r="J8" s="90"/>
      <x:c r="K8" s="90"/>
    </x:row>
    <x:row r="9" ht="27" customHeight="1">
      <x:c r="A9" s="16" t="str">
        <x:v>1985-04</x:v>
      </x:c>
      <x:c r="B9" s="16" t="n">
        <x:v>30</x:v>
      </x:c>
      <x:c r="C9" s="16" t="n">
        <x:v>30</x:v>
      </x:c>
      <x:c r="D9" s="78" t="n">
        <x:v>1</x:v>
      </x:c>
      <x:c r="E9" s="72" t="n">
        <x:v>168.4</x:v>
      </x:c>
      <x:c r="F9" s="16" t="str">
        <x:v>ACEPTADO</x:v>
      </x:c>
      <x:c r="G9" s="90"/>
      <x:c r="H9" s="90"/>
      <x:c r="I9" s="90"/>
      <x:c r="J9" s="90"/>
      <x:c r="K9" s="90"/>
    </x:row>
    <x:row r="10">
      <x:c r="A10" s="16" t="str">
        <x:v>1985-05</x:v>
      </x:c>
      <x:c r="B10" s="16" t="n">
        <x:v>31</x:v>
      </x:c>
      <x:c r="C10" s="16" t="n">
        <x:v>31</x:v>
      </x:c>
      <x:c r="D10" s="78" t="n">
        <x:v>1</x:v>
      </x:c>
      <x:c r="E10" s="72" t="n">
        <x:v>393.7</x:v>
      </x:c>
      <x:c r="F10" s="16" t="str">
        <x:v>ACEPTADO</x:v>
      </x:c>
      <x:c r="G10" s="16"/>
      <x:c r="H10" s="16"/>
      <x:c r="I10" s="16"/>
      <x:c r="J10" s="16"/>
      <x:c r="K10" s="16"/>
    </x:row>
    <x:row r="11">
      <x:c r="A11" s="16" t="str">
        <x:v>1985-06</x:v>
      </x:c>
      <x:c r="B11" s="16" t="n">
        <x:v>30</x:v>
      </x:c>
      <x:c r="C11" s="16" t="n">
        <x:v>30</x:v>
      </x:c>
      <x:c r="D11" s="78" t="n">
        <x:v>1</x:v>
      </x:c>
      <x:c r="E11" s="72" t="n">
        <x:v>366.4</x:v>
      </x:c>
      <x:c r="F11" s="16" t="str">
        <x:v>ACEPTADO</x:v>
      </x:c>
      <x:c r="G11" s="16"/>
      <x:c r="H11" s="16"/>
      <x:c r="I11" s="16"/>
      <x:c r="J11" s="16"/>
      <x:c r="K11" s="16"/>
    </x:row>
    <x:row r="12" ht="22" customHeight="1">
      <x:c r="A12" s="16" t="str">
        <x:v>1985-07</x:v>
      </x:c>
      <x:c r="B12" s="16" t="n">
        <x:v>31</x:v>
      </x:c>
      <x:c r="C12" s="16" t="n">
        <x:v>31</x:v>
      </x:c>
      <x:c r="D12" s="78" t="n">
        <x:v>1</x:v>
      </x:c>
      <x:c r="E12" s="72" t="n">
        <x:v>59.7</x:v>
      </x:c>
      <x:c r="F12" s="16" t="str">
        <x:v>ACEPTADO</x:v>
      </x:c>
      <x:c r="G12" s="69" t="str">
        <x:v>El corte estadístico no cambia tras excluir los meses con datos incompletos. Esta sensibilidad no resuelve por sí sola la homogeneidad: hacen falta estaciones vecinas y metadatos.</x:v>
      </x:c>
      <x:c r="H12" s="69"/>
      <x:c r="I12" s="69"/>
      <x:c r="J12" s="69"/>
      <x:c r="K12" s="69"/>
    </x:row>
    <x:row r="13" ht="22" customHeight="1">
      <x:c r="A13" s="16" t="str">
        <x:v>1985-08</x:v>
      </x:c>
      <x:c r="B13" s="16" t="n">
        <x:v>31</x:v>
      </x:c>
      <x:c r="C13" s="16" t="n">
        <x:v>31</x:v>
      </x:c>
      <x:c r="D13" s="78" t="n">
        <x:v>1</x:v>
      </x:c>
      <x:c r="E13" s="72" t="n">
        <x:v>27.1</x:v>
      </x:c>
      <x:c r="F13" s="16" t="str">
        <x:v>ACEPTADO</x:v>
      </x:c>
      <x:c r="G13" s="69"/>
      <x:c r="H13" s="69"/>
      <x:c r="I13" s="69"/>
      <x:c r="J13" s="69"/>
      <x:c r="K13" s="69"/>
    </x:row>
    <x:row r="14" ht="22" customHeight="1">
      <x:c r="A14" s="16" t="str">
        <x:v>1985-09</x:v>
      </x:c>
      <x:c r="B14" s="16" t="n">
        <x:v>30</x:v>
      </x:c>
      <x:c r="C14" s="16" t="n">
        <x:v>30</x:v>
      </x:c>
      <x:c r="D14" s="78" t="n">
        <x:v>1</x:v>
      </x:c>
      <x:c r="E14" s="72" t="n">
        <x:v>21</x:v>
      </x:c>
      <x:c r="F14" s="16" t="str">
        <x:v>ACEPTADO</x:v>
      </x:c>
      <x:c r="G14" s="69"/>
      <x:c r="H14" s="69"/>
      <x:c r="I14" s="69"/>
      <x:c r="J14" s="69"/>
      <x:c r="K14" s="69"/>
    </x:row>
    <x:row r="15" ht="22" customHeight="1">
      <x:c r="A15" s="16" t="str">
        <x:v>1985-10</x:v>
      </x:c>
      <x:c r="B15" s="16" t="n">
        <x:v>31</x:v>
      </x:c>
      <x:c r="C15" s="16" t="n">
        <x:v>31</x:v>
      </x:c>
      <x:c r="D15" s="78" t="n">
        <x:v>1</x:v>
      </x:c>
      <x:c r="E15" s="72" t="n">
        <x:v>10.4</x:v>
      </x:c>
      <x:c r="F15" s="16" t="str">
        <x:v>ACEPTADO</x:v>
      </x:c>
      <x:c r="G15" s="69"/>
      <x:c r="H15" s="69"/>
      <x:c r="I15" s="69"/>
      <x:c r="J15" s="69"/>
      <x:c r="K15" s="69"/>
    </x:row>
    <x:row r="16">
      <x:c r="A16" s="16" t="str">
        <x:v>1985-11</x:v>
      </x:c>
      <x:c r="B16" s="16" t="n">
        <x:v>30</x:v>
      </x:c>
      <x:c r="C16" s="16" t="n">
        <x:v>30</x:v>
      </x:c>
      <x:c r="D16" s="78" t="n">
        <x:v>1</x:v>
      </x:c>
      <x:c r="E16" s="72" t="n">
        <x:v>37.3</x:v>
      </x:c>
      <x:c r="F16" s="16" t="str">
        <x:v>ACEPTADO</x:v>
      </x:c>
      <x:c r="G16" s="16"/>
      <x:c r="H16" s="16"/>
      <x:c r="I16" s="16"/>
      <x:c r="J16" s="16"/>
      <x:c r="K16" s="16"/>
    </x:row>
    <x:row r="17">
      <x:c r="A17" s="16" t="str">
        <x:v>1985-12</x:v>
      </x:c>
      <x:c r="B17" s="16" t="n">
        <x:v>31</x:v>
      </x:c>
      <x:c r="C17" s="16" t="n">
        <x:v>31</x:v>
      </x:c>
      <x:c r="D17" s="78" t="n">
        <x:v>1</x:v>
      </x:c>
      <x:c r="E17" s="72" t="n">
        <x:v>96</x:v>
      </x:c>
      <x:c r="F17" s="16" t="str">
        <x:v>ACEPTADO</x:v>
      </x:c>
      <x:c r="G17" s="16"/>
      <x:c r="H17" s="16"/>
      <x:c r="I17" s="16"/>
      <x:c r="J17" s="16"/>
      <x:c r="K17" s="16"/>
    </x:row>
    <x:row r="18">
      <x:c r="A18" s="16" t="str">
        <x:v>1986-01</x:v>
      </x:c>
      <x:c r="B18" s="16" t="n">
        <x:v>31</x:v>
      </x:c>
      <x:c r="C18" s="16" t="n">
        <x:v>31</x:v>
      </x:c>
      <x:c r="D18" s="78" t="n">
        <x:v>1</x:v>
      </x:c>
      <x:c r="E18" s="72" t="n">
        <x:v>124.2</x:v>
      </x:c>
      <x:c r="F18" s="16" t="str">
        <x:v>ACEPTADO</x:v>
      </x:c>
      <x:c r="G18" s="16"/>
      <x:c r="H18" s="16"/>
      <x:c r="I18" s="16"/>
      <x:c r="J18" s="16"/>
      <x:c r="K18" s="16"/>
    </x:row>
    <x:row r="19">
      <x:c r="A19" s="16" t="str">
        <x:v>1986-02</x:v>
      </x:c>
      <x:c r="B19" s="16" t="n">
        <x:v>27</x:v>
      </x:c>
      <x:c r="C19" s="16" t="n">
        <x:v>28</x:v>
      </x:c>
      <x:c r="D19" s="78" t="n">
        <x:v>0.96429</x:v>
      </x:c>
      <x:c r="E19" s="72" t="n">
        <x:v>115</x:v>
      </x:c>
      <x:c r="F19" s="16" t="str">
        <x:v>ACEPTADO</x:v>
      </x:c>
      <x:c r="G19" s="16"/>
      <x:c r="H19" s="16"/>
      <x:c r="I19" s="16"/>
      <x:c r="J19" s="16"/>
      <x:c r="K19" s="16"/>
    </x:row>
    <x:row r="20">
      <x:c r="A20" s="16" t="str">
        <x:v>1986-03</x:v>
      </x:c>
      <x:c r="B20" s="16" t="n">
        <x:v>30</x:v>
      </x:c>
      <x:c r="C20" s="16" t="n">
        <x:v>31</x:v>
      </x:c>
      <x:c r="D20" s="78" t="n">
        <x:v>0.96774</x:v>
      </x:c>
      <x:c r="E20" s="72" t="n">
        <x:v>148.7</x:v>
      </x:c>
      <x:c r="F20" s="16" t="str">
        <x:v>ACEPTADO</x:v>
      </x:c>
      <x:c r="G20" s="16"/>
      <x:c r="H20" s="16"/>
      <x:c r="I20" s="16"/>
      <x:c r="J20" s="16"/>
      <x:c r="K20" s="16"/>
    </x:row>
    <x:row r="21">
      <x:c r="A21" s="16" t="str">
        <x:v>1986-04</x:v>
      </x:c>
      <x:c r="B21" s="16" t="n">
        <x:v>30</x:v>
      </x:c>
      <x:c r="C21" s="16" t="n">
        <x:v>30</x:v>
      </x:c>
      <x:c r="D21" s="78" t="n">
        <x:v>1</x:v>
      </x:c>
      <x:c r="E21" s="72" t="n">
        <x:v>174.8</x:v>
      </x:c>
      <x:c r="F21" s="16" t="str">
        <x:v>ACEPTADO</x:v>
      </x:c>
      <x:c r="G21" s="16"/>
      <x:c r="H21" s="16"/>
      <x:c r="I21" s="16"/>
      <x:c r="J21" s="16"/>
      <x:c r="K21" s="16"/>
    </x:row>
    <x:row r="22">
      <x:c r="A22" s="16" t="str">
        <x:v>1986-05</x:v>
      </x:c>
      <x:c r="B22" s="16" t="n">
        <x:v>31</x:v>
      </x:c>
      <x:c r="C22" s="16" t="n">
        <x:v>31</x:v>
      </x:c>
      <x:c r="D22" s="78" t="n">
        <x:v>1</x:v>
      </x:c>
      <x:c r="E22" s="72" t="n">
        <x:v>116.8</x:v>
      </x:c>
      <x:c r="F22" s="16" t="str">
        <x:v>ACEPTADO</x:v>
      </x:c>
      <x:c r="G22" s="16"/>
      <x:c r="H22" s="16"/>
      <x:c r="I22" s="16"/>
      <x:c r="J22" s="16"/>
      <x:c r="K22" s="16"/>
    </x:row>
    <x:row r="23">
      <x:c r="A23" s="16" t="str">
        <x:v>1986-06</x:v>
      </x:c>
      <x:c r="B23" s="16" t="n">
        <x:v>30</x:v>
      </x:c>
      <x:c r="C23" s="16" t="n">
        <x:v>30</x:v>
      </x:c>
      <x:c r="D23" s="78" t="n">
        <x:v>1</x:v>
      </x:c>
      <x:c r="E23" s="72" t="n">
        <x:v>27.9</x:v>
      </x:c>
      <x:c r="F23" s="16" t="str">
        <x:v>ACEPTADO</x:v>
      </x:c>
      <x:c r="G23" s="16"/>
      <x:c r="H23" s="16"/>
      <x:c r="I23" s="16"/>
      <x:c r="J23" s="16"/>
      <x:c r="K23" s="16"/>
    </x:row>
    <x:row r="24">
      <x:c r="A24" s="16" t="str">
        <x:v>1986-07</x:v>
      </x:c>
      <x:c r="B24" s="16" t="n">
        <x:v>31</x:v>
      </x:c>
      <x:c r="C24" s="16" t="n">
        <x:v>31</x:v>
      </x:c>
      <x:c r="D24" s="78" t="n">
        <x:v>1</x:v>
      </x:c>
      <x:c r="E24" s="72" t="n">
        <x:v>40.7</x:v>
      </x:c>
      <x:c r="F24" s="16" t="str">
        <x:v>ACEPTADO</x:v>
      </x:c>
      <x:c r="G24" s="16"/>
      <x:c r="H24" s="16"/>
      <x:c r="I24" s="16"/>
      <x:c r="J24" s="16"/>
      <x:c r="K24" s="16"/>
    </x:row>
    <x:row r="25">
      <x:c r="A25" s="16" t="str">
        <x:v>1986-08</x:v>
      </x:c>
      <x:c r="B25" s="16" t="n">
        <x:v>31</x:v>
      </x:c>
      <x:c r="C25" s="16" t="n">
        <x:v>31</x:v>
      </x:c>
      <x:c r="D25" s="78" t="n">
        <x:v>1</x:v>
      </x:c>
      <x:c r="E25" s="72" t="n">
        <x:v>54</x:v>
      </x:c>
      <x:c r="F25" s="16" t="str">
        <x:v>ACEPTADO</x:v>
      </x:c>
      <x:c r="G25" s="16"/>
      <x:c r="H25" s="16"/>
      <x:c r="I25" s="16"/>
      <x:c r="J25" s="16"/>
      <x:c r="K25" s="16"/>
    </x:row>
    <x:row r="26">
      <x:c r="A26" s="16" t="str">
        <x:v>1986-09</x:v>
      </x:c>
      <x:c r="B26" s="16" t="n">
        <x:v>30</x:v>
      </x:c>
      <x:c r="C26" s="16" t="n">
        <x:v>30</x:v>
      </x:c>
      <x:c r="D26" s="78" t="n">
        <x:v>1</x:v>
      </x:c>
      <x:c r="E26" s="72" t="n">
        <x:v>90.9</x:v>
      </x:c>
      <x:c r="F26" s="16" t="str">
        <x:v>ACEPTADO</x:v>
      </x:c>
      <x:c r="G26" s="16"/>
      <x:c r="H26" s="16"/>
      <x:c r="I26" s="16"/>
      <x:c r="J26" s="16"/>
      <x:c r="K26" s="16"/>
    </x:row>
    <x:row r="27">
      <x:c r="A27" s="16" t="str">
        <x:v>1986-10</x:v>
      </x:c>
      <x:c r="B27" s="16" t="n">
        <x:v>31</x:v>
      </x:c>
      <x:c r="C27" s="16" t="n">
        <x:v>31</x:v>
      </x:c>
      <x:c r="D27" s="78" t="n">
        <x:v>1</x:v>
      </x:c>
      <x:c r="E27" s="72" t="n">
        <x:v>108.4</x:v>
      </x:c>
      <x:c r="F27" s="16" t="str">
        <x:v>ACEPTADO</x:v>
      </x:c>
      <x:c r="G27" s="16"/>
      <x:c r="H27" s="16"/>
      <x:c r="I27" s="16"/>
      <x:c r="J27" s="16"/>
      <x:c r="K27" s="16"/>
    </x:row>
    <x:row r="28">
      <x:c r="A28" s="16" t="str">
        <x:v>1986-11</x:v>
      </x:c>
      <x:c r="B28" s="16" t="n">
        <x:v>30</x:v>
      </x:c>
      <x:c r="C28" s="16" t="n">
        <x:v>30</x:v>
      </x:c>
      <x:c r="D28" s="78" t="n">
        <x:v>1</x:v>
      </x:c>
      <x:c r="E28" s="72" t="n">
        <x:v>66.5</x:v>
      </x:c>
      <x:c r="F28" s="16" t="str">
        <x:v>ACEPTADO</x:v>
      </x:c>
      <x:c r="G28" s="16"/>
      <x:c r="H28" s="16"/>
      <x:c r="I28" s="16"/>
      <x:c r="J28" s="16"/>
      <x:c r="K28" s="16"/>
    </x:row>
    <x:row r="29">
      <x:c r="A29" s="16" t="str">
        <x:v>1986-12</x:v>
      </x:c>
      <x:c r="B29" s="16" t="n">
        <x:v>31</x:v>
      </x:c>
      <x:c r="C29" s="16" t="n">
        <x:v>31</x:v>
      </x:c>
      <x:c r="D29" s="78" t="n">
        <x:v>1</x:v>
      </x:c>
      <x:c r="E29" s="72" t="n">
        <x:v>63</x:v>
      </x:c>
      <x:c r="F29" s="16" t="str">
        <x:v>ACEPTADO</x:v>
      </x:c>
      <x:c r="G29" s="16"/>
      <x:c r="H29" s="16"/>
      <x:c r="I29" s="16"/>
      <x:c r="J29" s="16"/>
      <x:c r="K29" s="16"/>
    </x:row>
    <x:row r="30">
      <x:c r="A30" s="16" t="str">
        <x:v>1987-01</x:v>
      </x:c>
      <x:c r="B30" s="16" t="n">
        <x:v>31</x:v>
      </x:c>
      <x:c r="C30" s="16" t="n">
        <x:v>31</x:v>
      </x:c>
      <x:c r="D30" s="78" t="n">
        <x:v>1</x:v>
      </x:c>
      <x:c r="E30" s="72" t="n">
        <x:v>319.9</x:v>
      </x:c>
      <x:c r="F30" s="16" t="str">
        <x:v>ACEPTADO</x:v>
      </x:c>
      <x:c r="G30" s="16"/>
      <x:c r="H30" s="16"/>
      <x:c r="I30" s="16"/>
      <x:c r="J30" s="16"/>
      <x:c r="K30" s="16"/>
    </x:row>
    <x:row r="31">
      <x:c r="A31" s="16" t="str">
        <x:v>1987-02</x:v>
      </x:c>
      <x:c r="B31" s="16" t="n">
        <x:v>28</x:v>
      </x:c>
      <x:c r="C31" s="16" t="n">
        <x:v>28</x:v>
      </x:c>
      <x:c r="D31" s="78" t="n">
        <x:v>1</x:v>
      </x:c>
      <x:c r="E31" s="72" t="n">
        <x:v>58.4</x:v>
      </x:c>
      <x:c r="F31" s="16" t="str">
        <x:v>ACEPTADO</x:v>
      </x:c>
      <x:c r="G31" s="16"/>
      <x:c r="H31" s="16"/>
      <x:c r="I31" s="16"/>
      <x:c r="J31" s="16"/>
      <x:c r="K31" s="16"/>
    </x:row>
    <x:row r="32">
      <x:c r="A32" s="16" t="str">
        <x:v>1987-03</x:v>
      </x:c>
      <x:c r="B32" s="16" t="n">
        <x:v>27</x:v>
      </x:c>
      <x:c r="C32" s="16" t="n">
        <x:v>31</x:v>
      </x:c>
      <x:c r="D32" s="78" t="n">
        <x:v>0.87097</x:v>
      </x:c>
      <x:c r="E32" s="72" t="n">
        <x:v>156.3</x:v>
      </x:c>
      <x:c r="F32" s="16" t="str">
        <x:v>EXCLUIR</x:v>
      </x:c>
      <x:c r="G32" s="16"/>
      <x:c r="H32" s="16"/>
      <x:c r="I32" s="16"/>
      <x:c r="J32" s="16"/>
      <x:c r="K32" s="16"/>
    </x:row>
    <x:row r="33">
      <x:c r="A33" s="16" t="str">
        <x:v>1987-04</x:v>
      </x:c>
      <x:c r="B33" s="16" t="n">
        <x:v>29</x:v>
      </x:c>
      <x:c r="C33" s="16" t="n">
        <x:v>30</x:v>
      </x:c>
      <x:c r="D33" s="78" t="n">
        <x:v>0.96667</x:v>
      </x:c>
      <x:c r="E33" s="72" t="n">
        <x:v>375.6</x:v>
      </x:c>
      <x:c r="F33" s="16" t="str">
        <x:v>ACEPTADO</x:v>
      </x:c>
      <x:c r="G33" s="16"/>
      <x:c r="H33" s="16"/>
      <x:c r="I33" s="16"/>
      <x:c r="J33" s="16"/>
      <x:c r="K33" s="16"/>
    </x:row>
    <x:row r="34">
      <x:c r="A34" s="16" t="str">
        <x:v>1987-05</x:v>
      </x:c>
      <x:c r="B34" s="16" t="n">
        <x:v>31</x:v>
      </x:c>
      <x:c r="C34" s="16" t="n">
        <x:v>31</x:v>
      </x:c>
      <x:c r="D34" s="78" t="n">
        <x:v>1</x:v>
      </x:c>
      <x:c r="E34" s="72" t="n">
        <x:v>363.2</x:v>
      </x:c>
      <x:c r="F34" s="16" t="str">
        <x:v>ACEPTADO</x:v>
      </x:c>
      <x:c r="G34" s="16"/>
      <x:c r="H34" s="16"/>
      <x:c r="I34" s="16"/>
      <x:c r="J34" s="16"/>
      <x:c r="K34" s="16"/>
    </x:row>
    <x:row r="35">
      <x:c r="A35" s="16" t="str">
        <x:v>1987-06</x:v>
      </x:c>
      <x:c r="B35" s="16" t="n">
        <x:v>30</x:v>
      </x:c>
      <x:c r="C35" s="16" t="n">
        <x:v>30</x:v>
      </x:c>
      <x:c r="D35" s="78" t="n">
        <x:v>1</x:v>
      </x:c>
      <x:c r="E35" s="72" t="n">
        <x:v>50.1</x:v>
      </x:c>
      <x:c r="F35" s="16" t="str">
        <x:v>ACEPTADO</x:v>
      </x:c>
      <x:c r="G35" s="16"/>
      <x:c r="H35" s="16"/>
      <x:c r="I35" s="16"/>
      <x:c r="J35" s="16"/>
      <x:c r="K35" s="16"/>
    </x:row>
    <x:row r="36">
      <x:c r="A36" s="16" t="str">
        <x:v>1987-07</x:v>
      </x:c>
      <x:c r="B36" s="16" t="n">
        <x:v>31</x:v>
      </x:c>
      <x:c r="C36" s="16" t="n">
        <x:v>31</x:v>
      </x:c>
      <x:c r="D36" s="78" t="n">
        <x:v>1</x:v>
      </x:c>
      <x:c r="E36" s="72" t="n">
        <x:v>132.9</x:v>
      </x:c>
      <x:c r="F36" s="16" t="str">
        <x:v>ACEPTADO</x:v>
      </x:c>
      <x:c r="G36" s="16"/>
      <x:c r="H36" s="16"/>
      <x:c r="I36" s="16"/>
      <x:c r="J36" s="16"/>
      <x:c r="K36" s="16"/>
    </x:row>
    <x:row r="37">
      <x:c r="A37" s="16" t="str">
        <x:v>1987-08</x:v>
      </x:c>
      <x:c r="B37" s="16" t="n">
        <x:v>31</x:v>
      </x:c>
      <x:c r="C37" s="16" t="n">
        <x:v>31</x:v>
      </x:c>
      <x:c r="D37" s="78" t="n">
        <x:v>1</x:v>
      </x:c>
      <x:c r="E37" s="72" t="n">
        <x:v>307.7</x:v>
      </x:c>
      <x:c r="F37" s="16" t="str">
        <x:v>ACEPTADO</x:v>
      </x:c>
      <x:c r="G37" s="16"/>
      <x:c r="H37" s="16"/>
      <x:c r="I37" s="16"/>
      <x:c r="J37" s="16"/>
      <x:c r="K37" s="16"/>
    </x:row>
    <x:row r="38">
      <x:c r="A38" s="16" t="str">
        <x:v>1987-09</x:v>
      </x:c>
      <x:c r="B38" s="16" t="n">
        <x:v>30</x:v>
      </x:c>
      <x:c r="C38" s="16" t="n">
        <x:v>30</x:v>
      </x:c>
      <x:c r="D38" s="78" t="n">
        <x:v>1</x:v>
      </x:c>
      <x:c r="E38" s="72" t="n">
        <x:v>85.1</x:v>
      </x:c>
      <x:c r="F38" s="16" t="str">
        <x:v>ACEPTADO</x:v>
      </x:c>
      <x:c r="G38" s="16"/>
      <x:c r="H38" s="16"/>
      <x:c r="I38" s="16"/>
      <x:c r="J38" s="16"/>
      <x:c r="K38" s="16"/>
    </x:row>
    <x:row r="39">
      <x:c r="A39" s="16" t="str">
        <x:v>1987-10</x:v>
      </x:c>
      <x:c r="B39" s="16" t="n">
        <x:v>31</x:v>
      </x:c>
      <x:c r="C39" s="16" t="n">
        <x:v>31</x:v>
      </x:c>
      <x:c r="D39" s="78" t="n">
        <x:v>1</x:v>
      </x:c>
      <x:c r="E39" s="72" t="n">
        <x:v>123</x:v>
      </x:c>
      <x:c r="F39" s="16" t="str">
        <x:v>ACEPTADO</x:v>
      </x:c>
      <x:c r="G39" s="16"/>
      <x:c r="H39" s="16"/>
      <x:c r="I39" s="16"/>
      <x:c r="J39" s="16"/>
      <x:c r="K39" s="16"/>
    </x:row>
    <x:row r="40">
      <x:c r="A40" s="16" t="str">
        <x:v>1987-11</x:v>
      </x:c>
      <x:c r="B40" s="16" t="n">
        <x:v>30</x:v>
      </x:c>
      <x:c r="C40" s="16" t="n">
        <x:v>30</x:v>
      </x:c>
      <x:c r="D40" s="78" t="n">
        <x:v>1</x:v>
      </x:c>
      <x:c r="E40" s="72" t="n">
        <x:v>32.9</x:v>
      </x:c>
      <x:c r="F40" s="16" t="str">
        <x:v>ACEPTADO</x:v>
      </x:c>
      <x:c r="G40" s="16"/>
      <x:c r="H40" s="16"/>
      <x:c r="I40" s="16"/>
      <x:c r="J40" s="16"/>
      <x:c r="K40" s="16"/>
    </x:row>
    <x:row r="41">
      <x:c r="A41" s="16" t="str">
        <x:v>1987-12</x:v>
      </x:c>
      <x:c r="B41" s="16" t="n">
        <x:v>31</x:v>
      </x:c>
      <x:c r="C41" s="16" t="n">
        <x:v>31</x:v>
      </x:c>
      <x:c r="D41" s="78" t="n">
        <x:v>1</x:v>
      </x:c>
      <x:c r="E41" s="72" t="n">
        <x:v>47.2</x:v>
      </x:c>
      <x:c r="F41" s="16" t="str">
        <x:v>ACEPTADO</x:v>
      </x:c>
      <x:c r="G41" s="16"/>
      <x:c r="H41" s="16"/>
      <x:c r="I41" s="16"/>
      <x:c r="J41" s="16"/>
      <x:c r="K41" s="16"/>
    </x:row>
    <x:row r="42">
      <x:c r="A42" s="16" t="str">
        <x:v>1988-01</x:v>
      </x:c>
      <x:c r="B42" s="16" t="n">
        <x:v>31</x:v>
      </x:c>
      <x:c r="C42" s="16" t="n">
        <x:v>31</x:v>
      </x:c>
      <x:c r="D42" s="78" t="n">
        <x:v>1</x:v>
      </x:c>
      <x:c r="E42" s="72" t="n">
        <x:v>32.4</x:v>
      </x:c>
      <x:c r="F42" s="16" t="str">
        <x:v>ACEPTADO</x:v>
      </x:c>
      <x:c r="G42" s="16"/>
      <x:c r="H42" s="16"/>
      <x:c r="I42" s="16"/>
      <x:c r="J42" s="16"/>
      <x:c r="K42" s="16"/>
    </x:row>
    <x:row r="43">
      <x:c r="A43" s="16" t="str">
        <x:v>1988-02</x:v>
      </x:c>
      <x:c r="B43" s="16" t="n">
        <x:v>29</x:v>
      </x:c>
      <x:c r="C43" s="16" t="n">
        <x:v>29</x:v>
      </x:c>
      <x:c r="D43" s="78" t="n">
        <x:v>1</x:v>
      </x:c>
      <x:c r="E43" s="72" t="n">
        <x:v>127.7</x:v>
      </x:c>
      <x:c r="F43" s="16" t="str">
        <x:v>ACEPTADO</x:v>
      </x:c>
      <x:c r="G43" s="16"/>
      <x:c r="H43" s="16"/>
      <x:c r="I43" s="16"/>
      <x:c r="J43" s="16"/>
      <x:c r="K43" s="16"/>
    </x:row>
    <x:row r="44">
      <x:c r="A44" s="16" t="str">
        <x:v>1988-03</x:v>
      </x:c>
      <x:c r="B44" s="16" t="n">
        <x:v>31</x:v>
      </x:c>
      <x:c r="C44" s="16" t="n">
        <x:v>31</x:v>
      </x:c>
      <x:c r="D44" s="78" t="n">
        <x:v>1</x:v>
      </x:c>
      <x:c r="E44" s="72" t="n">
        <x:v>50.2</x:v>
      </x:c>
      <x:c r="F44" s="16" t="str">
        <x:v>ACEPTADO</x:v>
      </x:c>
      <x:c r="G44" s="16"/>
      <x:c r="H44" s="16"/>
      <x:c r="I44" s="16"/>
      <x:c r="J44" s="16"/>
      <x:c r="K44" s="16"/>
    </x:row>
    <x:row r="45">
      <x:c r="A45" s="16" t="str">
        <x:v>1988-04</x:v>
      </x:c>
      <x:c r="B45" s="16" t="n">
        <x:v>30</x:v>
      </x:c>
      <x:c r="C45" s="16" t="n">
        <x:v>30</x:v>
      </x:c>
      <x:c r="D45" s="78" t="n">
        <x:v>1</x:v>
      </x:c>
      <x:c r="E45" s="72" t="n">
        <x:v>394.5</x:v>
      </x:c>
      <x:c r="F45" s="16" t="str">
        <x:v>ACEPTADO</x:v>
      </x:c>
      <x:c r="G45" s="16"/>
      <x:c r="H45" s="16"/>
      <x:c r="I45" s="16"/>
      <x:c r="J45" s="16"/>
      <x:c r="K45" s="16"/>
    </x:row>
    <x:row r="46">
      <x:c r="A46" s="16" t="str">
        <x:v>1988-05</x:v>
      </x:c>
      <x:c r="B46" s="16" t="n">
        <x:v>31</x:v>
      </x:c>
      <x:c r="C46" s="16" t="n">
        <x:v>31</x:v>
      </x:c>
      <x:c r="D46" s="78" t="n">
        <x:v>1</x:v>
      </x:c>
      <x:c r="E46" s="72" t="n">
        <x:v>363.1</x:v>
      </x:c>
      <x:c r="F46" s="16" t="str">
        <x:v>ACEPTADO</x:v>
      </x:c>
      <x:c r="G46" s="16"/>
      <x:c r="H46" s="16"/>
      <x:c r="I46" s="16"/>
      <x:c r="J46" s="16"/>
      <x:c r="K46" s="16"/>
    </x:row>
    <x:row r="47">
      <x:c r="A47" s="16" t="str">
        <x:v>1988-06</x:v>
      </x:c>
      <x:c r="B47" s="16" t="n">
        <x:v>29</x:v>
      </x:c>
      <x:c r="C47" s="16" t="n">
        <x:v>30</x:v>
      </x:c>
      <x:c r="D47" s="78" t="n">
        <x:v>0.96667</x:v>
      </x:c>
      <x:c r="E47" s="72" t="n">
        <x:v>73.3</x:v>
      </x:c>
      <x:c r="F47" s="16" t="str">
        <x:v>ACEPTADO</x:v>
      </x:c>
      <x:c r="G47" s="16"/>
      <x:c r="H47" s="16"/>
      <x:c r="I47" s="16"/>
      <x:c r="J47" s="16"/>
      <x:c r="K47" s="16"/>
    </x:row>
    <x:row r="48">
      <x:c r="A48" s="16" t="str">
        <x:v>1988-07</x:v>
      </x:c>
      <x:c r="B48" s="16" t="n">
        <x:v>31</x:v>
      </x:c>
      <x:c r="C48" s="16" t="n">
        <x:v>31</x:v>
      </x:c>
      <x:c r="D48" s="78" t="n">
        <x:v>1</x:v>
      </x:c>
      <x:c r="E48" s="72" t="n">
        <x:v>76.10000000000001</x:v>
      </x:c>
      <x:c r="F48" s="16" t="str">
        <x:v>ACEPTADO</x:v>
      </x:c>
      <x:c r="G48" s="16"/>
      <x:c r="H48" s="16"/>
      <x:c r="I48" s="16"/>
      <x:c r="J48" s="16"/>
      <x:c r="K48" s="16"/>
    </x:row>
    <x:row r="49">
      <x:c r="A49" s="16" t="str">
        <x:v>1988-08</x:v>
      </x:c>
      <x:c r="B49" s="16" t="n">
        <x:v>30</x:v>
      </x:c>
      <x:c r="C49" s="16" t="n">
        <x:v>31</x:v>
      </x:c>
      <x:c r="D49" s="78" t="n">
        <x:v>0.96774</x:v>
      </x:c>
      <x:c r="E49" s="72" t="n">
        <x:v>57</x:v>
      </x:c>
      <x:c r="F49" s="16" t="str">
        <x:v>ACEPTADO</x:v>
      </x:c>
      <x:c r="G49" s="16"/>
      <x:c r="H49" s="16"/>
      <x:c r="I49" s="16"/>
      <x:c r="J49" s="16"/>
      <x:c r="K49" s="16"/>
    </x:row>
    <x:row r="50">
      <x:c r="A50" s="16" t="str">
        <x:v>1988-09</x:v>
      </x:c>
      <x:c r="B50" s="16" t="n">
        <x:v>30</x:v>
      </x:c>
      <x:c r="C50" s="16" t="n">
        <x:v>30</x:v>
      </x:c>
      <x:c r="D50" s="78" t="n">
        <x:v>1</x:v>
      </x:c>
      <x:c r="E50" s="72" t="n">
        <x:v>28</x:v>
      </x:c>
      <x:c r="F50" s="16" t="str">
        <x:v>ACEPTADO</x:v>
      </x:c>
      <x:c r="G50" s="16"/>
      <x:c r="H50" s="16"/>
      <x:c r="I50" s="16"/>
      <x:c r="J50" s="16"/>
      <x:c r="K50" s="16"/>
    </x:row>
    <x:row r="51">
      <x:c r="A51" s="16" t="str">
        <x:v>1988-10</x:v>
      </x:c>
      <x:c r="B51" s="16" t="n">
        <x:v>31</x:v>
      </x:c>
      <x:c r="C51" s="16" t="n">
        <x:v>31</x:v>
      </x:c>
      <x:c r="D51" s="78" t="n">
        <x:v>1</x:v>
      </x:c>
      <x:c r="E51" s="72" t="n">
        <x:v>34.5</x:v>
      </x:c>
      <x:c r="F51" s="16" t="str">
        <x:v>ACEPTADO</x:v>
      </x:c>
      <x:c r="G51" s="16"/>
      <x:c r="H51" s="16"/>
      <x:c r="I51" s="16"/>
      <x:c r="J51" s="16"/>
      <x:c r="K51" s="16"/>
    </x:row>
    <x:row r="52">
      <x:c r="A52" s="16" t="str">
        <x:v>1988-11</x:v>
      </x:c>
      <x:c r="B52" s="16" t="n">
        <x:v>30</x:v>
      </x:c>
      <x:c r="C52" s="16" t="n">
        <x:v>30</x:v>
      </x:c>
      <x:c r="D52" s="78" t="n">
        <x:v>1</x:v>
      </x:c>
      <x:c r="E52" s="72" t="n">
        <x:v>43.3</x:v>
      </x:c>
      <x:c r="F52" s="16" t="str">
        <x:v>ACEPTADO</x:v>
      </x:c>
      <x:c r="G52" s="16"/>
      <x:c r="H52" s="16"/>
      <x:c r="I52" s="16"/>
      <x:c r="J52" s="16"/>
      <x:c r="K52" s="16"/>
    </x:row>
    <x:row r="53">
      <x:c r="A53" s="16" t="str">
        <x:v>1988-12</x:v>
      </x:c>
      <x:c r="B53" s="16" t="n">
        <x:v>31</x:v>
      </x:c>
      <x:c r="C53" s="16" t="n">
        <x:v>31</x:v>
      </x:c>
      <x:c r="D53" s="78" t="n">
        <x:v>1</x:v>
      </x:c>
      <x:c r="E53" s="72" t="n">
        <x:v>53.9</x:v>
      </x:c>
      <x:c r="F53" s="16" t="str">
        <x:v>ACEPTADO</x:v>
      </x:c>
      <x:c r="G53" s="16"/>
      <x:c r="H53" s="16"/>
      <x:c r="I53" s="16"/>
      <x:c r="J53" s="16"/>
      <x:c r="K53" s="16"/>
    </x:row>
    <x:row r="54">
      <x:c r="A54" s="16" t="str">
        <x:v>1989-01</x:v>
      </x:c>
      <x:c r="B54" s="16" t="n">
        <x:v>31</x:v>
      </x:c>
      <x:c r="C54" s="16" t="n">
        <x:v>31</x:v>
      </x:c>
      <x:c r="D54" s="78" t="n">
        <x:v>1</x:v>
      </x:c>
      <x:c r="E54" s="72" t="n">
        <x:v>97.6</x:v>
      </x:c>
      <x:c r="F54" s="16" t="str">
        <x:v>ACEPTADO</x:v>
      </x:c>
      <x:c r="G54" s="16"/>
      <x:c r="H54" s="16"/>
      <x:c r="I54" s="16"/>
      <x:c r="J54" s="16"/>
      <x:c r="K54" s="16"/>
    </x:row>
    <x:row r="55">
      <x:c r="A55" s="16" t="str">
        <x:v>1989-02</x:v>
      </x:c>
      <x:c r="B55" s="16" t="n">
        <x:v>28</x:v>
      </x:c>
      <x:c r="C55" s="16" t="n">
        <x:v>28</x:v>
      </x:c>
      <x:c r="D55" s="78" t="n">
        <x:v>1</x:v>
      </x:c>
      <x:c r="E55" s="72" t="n">
        <x:v>133.5</x:v>
      </x:c>
      <x:c r="F55" s="16" t="str">
        <x:v>ACEPTADO</x:v>
      </x:c>
      <x:c r="G55" s="16"/>
      <x:c r="H55" s="16"/>
      <x:c r="I55" s="16"/>
      <x:c r="J55" s="16"/>
      <x:c r="K55" s="16"/>
    </x:row>
    <x:row r="56">
      <x:c r="A56" s="16" t="str">
        <x:v>1989-03</x:v>
      </x:c>
      <x:c r="B56" s="16" t="n">
        <x:v>31</x:v>
      </x:c>
      <x:c r="C56" s="16" t="n">
        <x:v>31</x:v>
      </x:c>
      <x:c r="D56" s="78" t="n">
        <x:v>1</x:v>
      </x:c>
      <x:c r="E56" s="72" t="n">
        <x:v>1.1</x:v>
      </x:c>
      <x:c r="F56" s="16" t="str">
        <x:v>ACEPTADO</x:v>
      </x:c>
      <x:c r="G56" s="16"/>
      <x:c r="H56" s="16"/>
      <x:c r="I56" s="16"/>
      <x:c r="J56" s="16"/>
      <x:c r="K56" s="16"/>
    </x:row>
    <x:row r="57">
      <x:c r="A57" s="16" t="str">
        <x:v>1989-04</x:v>
      </x:c>
      <x:c r="B57" s="16" t="n">
        <x:v>28</x:v>
      </x:c>
      <x:c r="C57" s="16" t="n">
        <x:v>30</x:v>
      </x:c>
      <x:c r="D57" s="78" t="n">
        <x:v>0.93333</x:v>
      </x:c>
      <x:c r="E57" s="72" t="n">
        <x:v>177.4</x:v>
      </x:c>
      <x:c r="F57" s="16" t="str">
        <x:v>ACEPTADO</x:v>
      </x:c>
      <x:c r="G57" s="16"/>
      <x:c r="H57" s="16"/>
      <x:c r="I57" s="16"/>
      <x:c r="J57" s="16"/>
      <x:c r="K57" s="16"/>
    </x:row>
    <x:row r="58">
      <x:c r="A58" s="16" t="str">
        <x:v>1989-05</x:v>
      </x:c>
      <x:c r="B58" s="16" t="n">
        <x:v>31</x:v>
      </x:c>
      <x:c r="C58" s="16" t="n">
        <x:v>31</x:v>
      </x:c>
      <x:c r="D58" s="78" t="n">
        <x:v>1</x:v>
      </x:c>
      <x:c r="E58" s="72" t="n">
        <x:v>290.3</x:v>
      </x:c>
      <x:c r="F58" s="16" t="str">
        <x:v>ACEPTADO</x:v>
      </x:c>
      <x:c r="G58" s="16"/>
      <x:c r="H58" s="16"/>
      <x:c r="I58" s="16"/>
      <x:c r="J58" s="16"/>
      <x:c r="K58" s="16"/>
    </x:row>
    <x:row r="59">
      <x:c r="A59" s="16" t="str">
        <x:v>1989-06</x:v>
      </x:c>
      <x:c r="B59" s="16" t="n">
        <x:v>30</x:v>
      </x:c>
      <x:c r="C59" s="16" t="n">
        <x:v>30</x:v>
      </x:c>
      <x:c r="D59" s="78" t="n">
        <x:v>1</x:v>
      </x:c>
      <x:c r="E59" s="72" t="n">
        <x:v>111.9</x:v>
      </x:c>
      <x:c r="F59" s="16" t="str">
        <x:v>ACEPTADO</x:v>
      </x:c>
      <x:c r="G59" s="16"/>
      <x:c r="H59" s="16"/>
      <x:c r="I59" s="16"/>
      <x:c r="J59" s="16"/>
      <x:c r="K59" s="16"/>
    </x:row>
    <x:row r="60">
      <x:c r="A60" s="16" t="str">
        <x:v>1989-07</x:v>
      </x:c>
      <x:c r="B60" s="16" t="n">
        <x:v>31</x:v>
      </x:c>
      <x:c r="C60" s="16" t="n">
        <x:v>31</x:v>
      </x:c>
      <x:c r="D60" s="78" t="n">
        <x:v>1</x:v>
      </x:c>
      <x:c r="E60" s="72" t="n">
        <x:v>52.8</x:v>
      </x:c>
      <x:c r="F60" s="16" t="str">
        <x:v>ACEPTADO</x:v>
      </x:c>
      <x:c r="G60" s="16"/>
      <x:c r="H60" s="16"/>
      <x:c r="I60" s="16"/>
      <x:c r="J60" s="16"/>
      <x:c r="K60" s="16"/>
    </x:row>
    <x:row r="61">
      <x:c r="A61" t="str">
        <x:v>1989-08</x:v>
      </x:c>
      <x:c r="B61" t="n">
        <x:v>31</x:v>
      </x:c>
      <x:c r="C61" t="n">
        <x:v>31</x:v>
      </x:c>
      <x:c r="D61" s="79" t="n">
        <x:v>1</x:v>
      </x:c>
      <x:c r="E61" s="82" t="n">
        <x:v>55.2</x:v>
      </x:c>
      <x:c r="F61" t="str">
        <x:v>ACEPTADO</x:v>
      </x:c>
    </x:row>
    <x:row r="62">
      <x:c r="A62" t="str">
        <x:v>1989-09</x:v>
      </x:c>
      <x:c r="B62" t="n">
        <x:v>27</x:v>
      </x:c>
      <x:c r="C62" t="n">
        <x:v>30</x:v>
      </x:c>
      <x:c r="D62" s="79" t="n">
        <x:v>0.9</x:v>
      </x:c>
      <x:c r="E62" s="82" t="n">
        <x:v>49</x:v>
      </x:c>
      <x:c r="F62" t="str">
        <x:v>ACEPTADO</x:v>
      </x:c>
    </x:row>
    <x:row r="63">
      <x:c r="A63" t="str">
        <x:v>1989-10</x:v>
      </x:c>
      <x:c r="B63" t="n">
        <x:v>31</x:v>
      </x:c>
      <x:c r="C63" t="n">
        <x:v>31</x:v>
      </x:c>
      <x:c r="D63" s="79" t="n">
        <x:v>1</x:v>
      </x:c>
      <x:c r="E63" s="82" t="n">
        <x:v>116.5</x:v>
      </x:c>
      <x:c r="F63" t="str">
        <x:v>ACEPTADO</x:v>
      </x:c>
    </x:row>
    <x:row r="64">
      <x:c r="A64" t="str">
        <x:v>1989-11</x:v>
      </x:c>
      <x:c r="B64" t="n">
        <x:v>30</x:v>
      </x:c>
      <x:c r="C64" t="n">
        <x:v>30</x:v>
      </x:c>
      <x:c r="D64" s="79" t="n">
        <x:v>1</x:v>
      </x:c>
      <x:c r="E64" s="82" t="n">
        <x:v>61.9</x:v>
      </x:c>
      <x:c r="F64" t="str">
        <x:v>ACEPTADO</x:v>
      </x:c>
    </x:row>
    <x:row r="65">
      <x:c r="A65" t="str">
        <x:v>1989-12</x:v>
      </x:c>
      <x:c r="B65" t="n">
        <x:v>31</x:v>
      </x:c>
      <x:c r="C65" t="n">
        <x:v>31</x:v>
      </x:c>
      <x:c r="D65" s="79" t="n">
        <x:v>1</x:v>
      </x:c>
      <x:c r="E65" s="82" t="n">
        <x:v>94</x:v>
      </x:c>
      <x:c r="F65" t="str">
        <x:v>ACEPTADO</x:v>
      </x:c>
    </x:row>
    <x:row r="66">
      <x:c r="A66" t="str">
        <x:v>1990-01</x:v>
      </x:c>
      <x:c r="B66" t="n">
        <x:v>31</x:v>
      </x:c>
      <x:c r="C66" t="n">
        <x:v>31</x:v>
      </x:c>
      <x:c r="D66" s="79" t="n">
        <x:v>1</x:v>
      </x:c>
      <x:c r="E66" s="82" t="n">
        <x:v>132.7</x:v>
      </x:c>
      <x:c r="F66" t="str">
        <x:v>ACEPTADO</x:v>
      </x:c>
    </x:row>
    <x:row r="67">
      <x:c r="A67" t="str">
        <x:v>1990-02</x:v>
      </x:c>
      <x:c r="B67" t="n">
        <x:v>28</x:v>
      </x:c>
      <x:c r="C67" t="n">
        <x:v>28</x:v>
      </x:c>
      <x:c r="D67" s="79" t="n">
        <x:v>1</x:v>
      </x:c>
      <x:c r="E67" s="82" t="n">
        <x:v>240.8</x:v>
      </x:c>
      <x:c r="F67" t="str">
        <x:v>ACEPTADO</x:v>
      </x:c>
    </x:row>
    <x:row r="68">
      <x:c r="A68" t="str">
        <x:v>1990-03</x:v>
      </x:c>
      <x:c r="B68" t="n">
        <x:v>31</x:v>
      </x:c>
      <x:c r="C68" t="n">
        <x:v>31</x:v>
      </x:c>
      <x:c r="D68" s="79" t="n">
        <x:v>1</x:v>
      </x:c>
      <x:c r="E68" s="82" t="n">
        <x:v>261.1</x:v>
      </x:c>
      <x:c r="F68" t="str">
        <x:v>ACEPTADO</x:v>
      </x:c>
    </x:row>
    <x:row r="69">
      <x:c r="A69" t="str">
        <x:v>1990-04</x:v>
      </x:c>
      <x:c r="B69" t="n">
        <x:v>30</x:v>
      </x:c>
      <x:c r="C69" t="n">
        <x:v>30</x:v>
      </x:c>
      <x:c r="D69" s="79" t="n">
        <x:v>1</x:v>
      </x:c>
      <x:c r="E69" s="82" t="n">
        <x:v>198.4</x:v>
      </x:c>
      <x:c r="F69" t="str">
        <x:v>ACEPTADO</x:v>
      </x:c>
    </x:row>
    <x:row r="70">
      <x:c r="A70" t="str">
        <x:v>1990-05</x:v>
      </x:c>
      <x:c r="B70" t="n">
        <x:v>31</x:v>
      </x:c>
      <x:c r="C70" t="n">
        <x:v>31</x:v>
      </x:c>
      <x:c r="D70" s="79" t="n">
        <x:v>1</x:v>
      </x:c>
      <x:c r="E70" s="82" t="n">
        <x:v>113.4</x:v>
      </x:c>
      <x:c r="F70" t="str">
        <x:v>ACEPTADO</x:v>
      </x:c>
    </x:row>
    <x:row r="71">
      <x:c r="A71" t="str">
        <x:v>1990-06</x:v>
      </x:c>
      <x:c r="B71" t="n">
        <x:v>30</x:v>
      </x:c>
      <x:c r="C71" t="n">
        <x:v>30</x:v>
      </x:c>
      <x:c r="D71" s="79" t="n">
        <x:v>1</x:v>
      </x:c>
      <x:c r="E71" s="82" t="n">
        <x:v>408.4</x:v>
      </x:c>
      <x:c r="F71" t="str">
        <x:v>ACEPTADO</x:v>
      </x:c>
    </x:row>
    <x:row r="72">
      <x:c r="A72" t="str">
        <x:v>1990-07</x:v>
      </x:c>
      <x:c r="B72" t="n">
        <x:v>31</x:v>
      </x:c>
      <x:c r="C72" t="n">
        <x:v>31</x:v>
      </x:c>
      <x:c r="D72" s="79" t="n">
        <x:v>1</x:v>
      </x:c>
      <x:c r="E72" s="82" t="n">
        <x:v>63.8</x:v>
      </x:c>
      <x:c r="F72" t="str">
        <x:v>ACEPTADO</x:v>
      </x:c>
    </x:row>
    <x:row r="73">
      <x:c r="A73" t="str">
        <x:v>1990-08</x:v>
      </x:c>
      <x:c r="B73" t="n">
        <x:v>31</x:v>
      </x:c>
      <x:c r="C73" t="n">
        <x:v>31</x:v>
      </x:c>
      <x:c r="D73" s="79" t="n">
        <x:v>1</x:v>
      </x:c>
      <x:c r="E73" s="82" t="n">
        <x:v>14</x:v>
      </x:c>
      <x:c r="F73" t="str">
        <x:v>ACEPTADO</x:v>
      </x:c>
    </x:row>
    <x:row r="74">
      <x:c r="A74" t="str">
        <x:v>1990-09</x:v>
      </x:c>
      <x:c r="B74" t="n">
        <x:v>30</x:v>
      </x:c>
      <x:c r="C74" t="n">
        <x:v>30</x:v>
      </x:c>
      <x:c r="D74" s="79" t="n">
        <x:v>1</x:v>
      </x:c>
      <x:c r="E74" s="82" t="n">
        <x:v>41.6</x:v>
      </x:c>
      <x:c r="F74" t="str">
        <x:v>ACEPTADO</x:v>
      </x:c>
    </x:row>
    <x:row r="75">
      <x:c r="A75" t="str">
        <x:v>1990-10</x:v>
      </x:c>
      <x:c r="B75" t="n">
        <x:v>31</x:v>
      </x:c>
      <x:c r="C75" t="n">
        <x:v>31</x:v>
      </x:c>
      <x:c r="D75" s="79" t="n">
        <x:v>1</x:v>
      </x:c>
      <x:c r="E75" s="82" t="n">
        <x:v>52.6</x:v>
      </x:c>
      <x:c r="F75" t="str">
        <x:v>ACEPTADO</x:v>
      </x:c>
    </x:row>
    <x:row r="76">
      <x:c r="A76" t="str">
        <x:v>1990-11</x:v>
      </x:c>
      <x:c r="B76" t="n">
        <x:v>30</x:v>
      </x:c>
      <x:c r="C76" t="n">
        <x:v>30</x:v>
      </x:c>
      <x:c r="D76" s="79" t="n">
        <x:v>1</x:v>
      </x:c>
      <x:c r="E76" s="82" t="n">
        <x:v>17.5</x:v>
      </x:c>
      <x:c r="F76" t="str">
        <x:v>ACEPTADO</x:v>
      </x:c>
    </x:row>
    <x:row r="77">
      <x:c r="A77" t="str">
        <x:v>1990-12</x:v>
      </x:c>
      <x:c r="B77" t="n">
        <x:v>31</x:v>
      </x:c>
      <x:c r="C77" t="n">
        <x:v>31</x:v>
      </x:c>
      <x:c r="D77" s="79" t="n">
        <x:v>1</x:v>
      </x:c>
      <x:c r="E77" s="82" t="n">
        <x:v>44.9</x:v>
      </x:c>
      <x:c r="F77" t="str">
        <x:v>ACEPTADO</x:v>
      </x:c>
    </x:row>
    <x:row r="78">
      <x:c r="A78" t="str">
        <x:v>1991-01</x:v>
      </x:c>
      <x:c r="B78" t="n">
        <x:v>31</x:v>
      </x:c>
      <x:c r="C78" t="n">
        <x:v>31</x:v>
      </x:c>
      <x:c r="D78" s="79" t="n">
        <x:v>1</x:v>
      </x:c>
      <x:c r="E78" s="82" t="n">
        <x:v>65.6</x:v>
      </x:c>
      <x:c r="F78" t="str">
        <x:v>ACEPTADO</x:v>
      </x:c>
    </x:row>
    <x:row r="79">
      <x:c r="A79" t="str">
        <x:v>1991-02</x:v>
      </x:c>
      <x:c r="B79" t="n">
        <x:v>28</x:v>
      </x:c>
      <x:c r="C79" t="n">
        <x:v>28</x:v>
      </x:c>
      <x:c r="D79" s="79" t="n">
        <x:v>1</x:v>
      </x:c>
      <x:c r="E79" s="82" t="n">
        <x:v>158.5</x:v>
      </x:c>
      <x:c r="F79" t="str">
        <x:v>ACEPTADO</x:v>
      </x:c>
    </x:row>
    <x:row r="80">
      <x:c r="A80" t="str">
        <x:v>1991-03</x:v>
      </x:c>
      <x:c r="B80" t="n">
        <x:v>31</x:v>
      </x:c>
      <x:c r="C80" t="n">
        <x:v>31</x:v>
      </x:c>
      <x:c r="D80" s="79" t="n">
        <x:v>1</x:v>
      </x:c>
      <x:c r="E80" s="82" t="n">
        <x:v>298.5</x:v>
      </x:c>
      <x:c r="F80" t="str">
        <x:v>ACEPTADO</x:v>
      </x:c>
    </x:row>
    <x:row r="81">
      <x:c r="A81" t="str">
        <x:v>1991-04</x:v>
      </x:c>
      <x:c r="B81" t="n">
        <x:v>30</x:v>
      </x:c>
      <x:c r="C81" t="n">
        <x:v>30</x:v>
      </x:c>
      <x:c r="D81" s="79" t="n">
        <x:v>1</x:v>
      </x:c>
      <x:c r="E81" s="82" t="n">
        <x:v>263.9</x:v>
      </x:c>
      <x:c r="F81" t="str">
        <x:v>ACEPTADO</x:v>
      </x:c>
    </x:row>
    <x:row r="82">
      <x:c r="A82" t="str">
        <x:v>1991-05</x:v>
      </x:c>
      <x:c r="B82" t="n">
        <x:v>31</x:v>
      </x:c>
      <x:c r="C82" t="n">
        <x:v>31</x:v>
      </x:c>
      <x:c r="D82" s="79" t="n">
        <x:v>1</x:v>
      </x:c>
      <x:c r="E82" s="82" t="n">
        <x:v>375.3</x:v>
      </x:c>
      <x:c r="F82" t="str">
        <x:v>ACEPTADO</x:v>
      </x:c>
    </x:row>
    <x:row r="83">
      <x:c r="A83" t="str">
        <x:v>1991-06</x:v>
      </x:c>
      <x:c r="B83" t="n">
        <x:v>28</x:v>
      </x:c>
      <x:c r="C83" t="n">
        <x:v>30</x:v>
      </x:c>
      <x:c r="D83" s="79" t="n">
        <x:v>0.93333</x:v>
      </x:c>
      <x:c r="E83" s="82" t="n">
        <x:v>244.4</x:v>
      </x:c>
      <x:c r="F83" t="str">
        <x:v>ACEPTADO</x:v>
      </x:c>
    </x:row>
    <x:row r="84">
      <x:c r="A84" t="str">
        <x:v>1991-07</x:v>
      </x:c>
      <x:c r="B84" t="n">
        <x:v>31</x:v>
      </x:c>
      <x:c r="C84" t="n">
        <x:v>31</x:v>
      </x:c>
      <x:c r="D84" s="79" t="n">
        <x:v>1</x:v>
      </x:c>
      <x:c r="E84" s="82" t="n">
        <x:v>235.6</x:v>
      </x:c>
      <x:c r="F84" t="str">
        <x:v>ACEPTADO</x:v>
      </x:c>
    </x:row>
    <x:row r="85">
      <x:c r="A85" t="str">
        <x:v>1991-08</x:v>
      </x:c>
      <x:c r="B85" t="n">
        <x:v>31</x:v>
      </x:c>
      <x:c r="C85" t="n">
        <x:v>31</x:v>
      </x:c>
      <x:c r="D85" s="79" t="n">
        <x:v>1</x:v>
      </x:c>
      <x:c r="E85" s="82" t="n">
        <x:v>74.5</x:v>
      </x:c>
      <x:c r="F85" t="str">
        <x:v>ACEPTADO</x:v>
      </x:c>
    </x:row>
    <x:row r="86">
      <x:c r="A86" t="str">
        <x:v>1991-09</x:v>
      </x:c>
      <x:c r="B86" t="n">
        <x:v>30</x:v>
      </x:c>
      <x:c r="C86" t="n">
        <x:v>30</x:v>
      </x:c>
      <x:c r="D86" s="79" t="n">
        <x:v>1</x:v>
      </x:c>
      <x:c r="E86" s="82" t="n">
        <x:v>35.6</x:v>
      </x:c>
      <x:c r="F86" t="str">
        <x:v>ACEPTADO</x:v>
      </x:c>
    </x:row>
    <x:row r="87">
      <x:c r="A87" t="str">
        <x:v>1991-10</x:v>
      </x:c>
      <x:c r="B87" t="n">
        <x:v>31</x:v>
      </x:c>
      <x:c r="C87" t="n">
        <x:v>31</x:v>
      </x:c>
      <x:c r="D87" s="79" t="n">
        <x:v>1</x:v>
      </x:c>
      <x:c r="E87" s="82" t="n">
        <x:v>80</x:v>
      </x:c>
      <x:c r="F87" t="str">
        <x:v>ACEPTADO</x:v>
      </x:c>
    </x:row>
    <x:row r="88">
      <x:c r="A88" t="str">
        <x:v>1991-11</x:v>
      </x:c>
      <x:c r="B88" t="n">
        <x:v>30</x:v>
      </x:c>
      <x:c r="C88" t="n">
        <x:v>30</x:v>
      </x:c>
      <x:c r="D88" s="79" t="n">
        <x:v>1</x:v>
      </x:c>
      <x:c r="E88" s="82" t="n">
        <x:v>111.2</x:v>
      </x:c>
      <x:c r="F88" t="str">
        <x:v>ACEPTADO</x:v>
      </x:c>
    </x:row>
    <x:row r="89">
      <x:c r="A89" t="str">
        <x:v>1991-12</x:v>
      </x:c>
      <x:c r="B89" t="n">
        <x:v>31</x:v>
      </x:c>
      <x:c r="C89" t="n">
        <x:v>31</x:v>
      </x:c>
      <x:c r="D89" s="79" t="n">
        <x:v>1</x:v>
      </x:c>
      <x:c r="E89" s="82" t="n">
        <x:v>155.2</x:v>
      </x:c>
      <x:c r="F89" t="str">
        <x:v>ACEPTADO</x:v>
      </x:c>
    </x:row>
    <x:row r="90">
      <x:c r="A90" t="str">
        <x:v>1992-01</x:v>
      </x:c>
      <x:c r="B90" t="n">
        <x:v>31</x:v>
      </x:c>
      <x:c r="C90" t="n">
        <x:v>31</x:v>
      </x:c>
      <x:c r="D90" s="79" t="n">
        <x:v>1</x:v>
      </x:c>
      <x:c r="E90" s="82" t="n">
        <x:v>114.8</x:v>
      </x:c>
      <x:c r="F90" t="str">
        <x:v>ACEPTADO</x:v>
      </x:c>
    </x:row>
    <x:row r="91">
      <x:c r="A91" t="str">
        <x:v>1992-02</x:v>
      </x:c>
      <x:c r="B91" t="n">
        <x:v>29</x:v>
      </x:c>
      <x:c r="C91" t="n">
        <x:v>29</x:v>
      </x:c>
      <x:c r="D91" s="79" t="n">
        <x:v>1</x:v>
      </x:c>
      <x:c r="E91" s="82" t="n">
        <x:v>185.6</x:v>
      </x:c>
      <x:c r="F91" t="str">
        <x:v>ACEPTADO</x:v>
      </x:c>
    </x:row>
    <x:row r="92">
      <x:c r="A92" t="str">
        <x:v>1992-03</x:v>
      </x:c>
      <x:c r="B92" t="n">
        <x:v>31</x:v>
      </x:c>
      <x:c r="C92" t="n">
        <x:v>31</x:v>
      </x:c>
      <x:c r="D92" s="79" t="n">
        <x:v>1</x:v>
      </x:c>
      <x:c r="E92" s="82" t="n">
        <x:v>396.6</x:v>
      </x:c>
      <x:c r="F92" t="str">
        <x:v>ACEPTADO</x:v>
      </x:c>
    </x:row>
    <x:row r="93">
      <x:c r="A93" t="str">
        <x:v>1992-04</x:v>
      </x:c>
      <x:c r="B93" t="n">
        <x:v>30</x:v>
      </x:c>
      <x:c r="C93" t="n">
        <x:v>30</x:v>
      </x:c>
      <x:c r="D93" s="79" t="n">
        <x:v>1</x:v>
      </x:c>
      <x:c r="E93" s="82" t="n">
        <x:v>330.5</x:v>
      </x:c>
      <x:c r="F93" t="str">
        <x:v>ACEPTADO</x:v>
      </x:c>
    </x:row>
    <x:row r="94">
      <x:c r="A94" t="str">
        <x:v>1992-05</x:v>
      </x:c>
      <x:c r="B94" t="n">
        <x:v>31</x:v>
      </x:c>
      <x:c r="C94" t="n">
        <x:v>31</x:v>
      </x:c>
      <x:c r="D94" s="79" t="n">
        <x:v>1</x:v>
      </x:c>
      <x:c r="E94" s="82" t="n">
        <x:v>519</x:v>
      </x:c>
      <x:c r="F94" t="str">
        <x:v>ACEPTADO</x:v>
      </x:c>
    </x:row>
    <x:row r="95">
      <x:c r="A95" t="str">
        <x:v>1992-06</x:v>
      </x:c>
      <x:c r="B95" t="n">
        <x:v>30</x:v>
      </x:c>
      <x:c r="C95" t="n">
        <x:v>30</x:v>
      </x:c>
      <x:c r="D95" s="79" t="n">
        <x:v>1</x:v>
      </x:c>
      <x:c r="E95" s="82" t="n">
        <x:v>291.1</x:v>
      </x:c>
      <x:c r="F95" t="str">
        <x:v>ACEPTADO</x:v>
      </x:c>
    </x:row>
    <x:row r="96">
      <x:c r="A96" t="str">
        <x:v>1992-07</x:v>
      </x:c>
      <x:c r="B96" t="n">
        <x:v>31</x:v>
      </x:c>
      <x:c r="C96" t="n">
        <x:v>31</x:v>
      </x:c>
      <x:c r="D96" s="79" t="n">
        <x:v>1</x:v>
      </x:c>
      <x:c r="E96" s="82" t="n">
        <x:v>115.7</x:v>
      </x:c>
      <x:c r="F96" t="str">
        <x:v>ACEPTADO</x:v>
      </x:c>
    </x:row>
    <x:row r="97">
      <x:c r="A97" t="str">
        <x:v>1992-08</x:v>
      </x:c>
      <x:c r="B97" t="n">
        <x:v>31</x:v>
      </x:c>
      <x:c r="C97" t="n">
        <x:v>31</x:v>
      </x:c>
      <x:c r="D97" s="79" t="n">
        <x:v>1</x:v>
      </x:c>
      <x:c r="E97" s="82" t="n">
        <x:v>182.2</x:v>
      </x:c>
      <x:c r="F97" t="str">
        <x:v>ACEPTADO</x:v>
      </x:c>
    </x:row>
    <x:row r="98">
      <x:c r="A98" t="str">
        <x:v>1992-09</x:v>
      </x:c>
      <x:c r="B98" t="n">
        <x:v>30</x:v>
      </x:c>
      <x:c r="C98" t="n">
        <x:v>30</x:v>
      </x:c>
      <x:c r="D98" s="79" t="n">
        <x:v>1</x:v>
      </x:c>
      <x:c r="E98" s="82" t="n">
        <x:v>92.9</x:v>
      </x:c>
      <x:c r="F98" t="str">
        <x:v>ACEPTADO</x:v>
      </x:c>
    </x:row>
    <x:row r="99">
      <x:c r="A99" t="str">
        <x:v>1992-10</x:v>
      </x:c>
      <x:c r="B99" t="n">
        <x:v>31</x:v>
      </x:c>
      <x:c r="C99" t="n">
        <x:v>31</x:v>
      </x:c>
      <x:c r="D99" s="79" t="n">
        <x:v>1</x:v>
      </x:c>
      <x:c r="E99" s="82" t="n">
        <x:v>126.4</x:v>
      </x:c>
      <x:c r="F99" t="str">
        <x:v>ACEPTADO</x:v>
      </x:c>
    </x:row>
    <x:row r="100">
      <x:c r="A100" t="str">
        <x:v>1992-11</x:v>
      </x:c>
      <x:c r="B100" t="n">
        <x:v>30</x:v>
      </x:c>
      <x:c r="C100" t="n">
        <x:v>30</x:v>
      </x:c>
      <x:c r="D100" s="79" t="n">
        <x:v>1</x:v>
      </x:c>
      <x:c r="E100" s="82" t="n">
        <x:v>83.4</x:v>
      </x:c>
      <x:c r="F100" t="str">
        <x:v>ACEPTADO</x:v>
      </x:c>
    </x:row>
    <x:row r="101">
      <x:c r="A101" t="str">
        <x:v>1992-12</x:v>
      </x:c>
      <x:c r="B101" t="n">
        <x:v>31</x:v>
      </x:c>
      <x:c r="C101" t="n">
        <x:v>31</x:v>
      </x:c>
      <x:c r="D101" s="79" t="n">
        <x:v>1</x:v>
      </x:c>
      <x:c r="E101" s="82" t="n">
        <x:v>183.8</x:v>
      </x:c>
      <x:c r="F101" t="str">
        <x:v>ACEPTADO</x:v>
      </x:c>
    </x:row>
    <x:row r="102">
      <x:c r="A102" t="str">
        <x:v>1993-01</x:v>
      </x:c>
      <x:c r="B102" t="n">
        <x:v>31</x:v>
      </x:c>
      <x:c r="C102" t="n">
        <x:v>31</x:v>
      </x:c>
      <x:c r="D102" s="79" t="n">
        <x:v>1</x:v>
      </x:c>
      <x:c r="E102" s="82" t="n">
        <x:v>234.9</x:v>
      </x:c>
      <x:c r="F102" t="str">
        <x:v>ACEPTADO</x:v>
      </x:c>
    </x:row>
    <x:row r="103">
      <x:c r="A103" t="str">
        <x:v>1993-02</x:v>
      </x:c>
      <x:c r="B103" t="n">
        <x:v>28</x:v>
      </x:c>
      <x:c r="C103" t="n">
        <x:v>28</x:v>
      </x:c>
      <x:c r="D103" s="79" t="n">
        <x:v>1</x:v>
      </x:c>
      <x:c r="E103" s="82" t="n">
        <x:v>137.6</x:v>
      </x:c>
      <x:c r="F103" t="str">
        <x:v>ACEPTADO</x:v>
      </x:c>
    </x:row>
    <x:row r="104">
      <x:c r="A104" t="str">
        <x:v>1993-03</x:v>
      </x:c>
      <x:c r="B104" t="n">
        <x:v>31</x:v>
      </x:c>
      <x:c r="C104" t="n">
        <x:v>31</x:v>
      </x:c>
      <x:c r="D104" s="79" t="n">
        <x:v>1</x:v>
      </x:c>
      <x:c r="E104" s="82" t="n">
        <x:v>463.5</x:v>
      </x:c>
      <x:c r="F104" t="str">
        <x:v>ACEPTADO</x:v>
      </x:c>
    </x:row>
    <x:row r="105">
      <x:c r="A105" t="str">
        <x:v>1993-04</x:v>
      </x:c>
      <x:c r="B105" t="n">
        <x:v>30</x:v>
      </x:c>
      <x:c r="C105" t="n">
        <x:v>30</x:v>
      </x:c>
      <x:c r="D105" s="79" t="n">
        <x:v>1</x:v>
      </x:c>
      <x:c r="E105" s="82" t="n">
        <x:v>430.2</x:v>
      </x:c>
      <x:c r="F105" t="str">
        <x:v>ACEPTADO</x:v>
      </x:c>
    </x:row>
    <x:row r="106">
      <x:c r="A106" t="str">
        <x:v>1993-05</x:v>
      </x:c>
      <x:c r="B106" t="n">
        <x:v>31</x:v>
      </x:c>
      <x:c r="C106" t="n">
        <x:v>31</x:v>
      </x:c>
      <x:c r="D106" s="79" t="n">
        <x:v>1</x:v>
      </x:c>
      <x:c r="E106" s="82" t="n">
        <x:v>199.6</x:v>
      </x:c>
      <x:c r="F106" t="str">
        <x:v>ACEPTADO</x:v>
      </x:c>
    </x:row>
    <x:row r="107">
      <x:c r="A107" t="str">
        <x:v>1993-06</x:v>
      </x:c>
      <x:c r="B107" t="n">
        <x:v>30</x:v>
      </x:c>
      <x:c r="C107" t="n">
        <x:v>30</x:v>
      </x:c>
      <x:c r="D107" s="79" t="n">
        <x:v>1</x:v>
      </x:c>
      <x:c r="E107" s="82" t="n">
        <x:v>33.7</x:v>
      </x:c>
      <x:c r="F107" t="str">
        <x:v>ACEPTADO</x:v>
      </x:c>
    </x:row>
    <x:row r="108">
      <x:c r="A108" t="str">
        <x:v>1993-07</x:v>
      </x:c>
      <x:c r="B108" t="n">
        <x:v>31</x:v>
      </x:c>
      <x:c r="C108" t="n">
        <x:v>31</x:v>
      </x:c>
      <x:c r="D108" s="79" t="n">
        <x:v>1</x:v>
      </x:c>
      <x:c r="E108" s="82" t="n">
        <x:v>22.5</x:v>
      </x:c>
      <x:c r="F108" t="str">
        <x:v>ACEPTADO</x:v>
      </x:c>
    </x:row>
    <x:row r="109">
      <x:c r="A109" t="str">
        <x:v>1993-08</x:v>
      </x:c>
      <x:c r="B109" t="n">
        <x:v>31</x:v>
      </x:c>
      <x:c r="C109" t="n">
        <x:v>31</x:v>
      </x:c>
      <x:c r="D109" s="79" t="n">
        <x:v>1</x:v>
      </x:c>
      <x:c r="E109" s="82" t="n">
        <x:v>25.6</x:v>
      </x:c>
      <x:c r="F109" t="str">
        <x:v>ACEPTADO</x:v>
      </x:c>
    </x:row>
    <x:row r="110">
      <x:c r="A110" t="str">
        <x:v>1993-09</x:v>
      </x:c>
      <x:c r="B110" t="n">
        <x:v>30</x:v>
      </x:c>
      <x:c r="C110" t="n">
        <x:v>30</x:v>
      </x:c>
      <x:c r="D110" s="79" t="n">
        <x:v>1</x:v>
      </x:c>
      <x:c r="E110" s="82" t="n">
        <x:v>2.1</x:v>
      </x:c>
      <x:c r="F110" t="str">
        <x:v>ACEPTADO</x:v>
      </x:c>
    </x:row>
    <x:row r="111">
      <x:c r="A111" t="str">
        <x:v>1993-10</x:v>
      </x:c>
      <x:c r="B111" t="n">
        <x:v>31</x:v>
      </x:c>
      <x:c r="C111" t="n">
        <x:v>31</x:v>
      </x:c>
      <x:c r="D111" s="79" t="n">
        <x:v>1</x:v>
      </x:c>
      <x:c r="E111" s="82" t="n">
        <x:v>13.5</x:v>
      </x:c>
      <x:c r="F111" t="str">
        <x:v>ACEPTADO</x:v>
      </x:c>
    </x:row>
    <x:row r="112">
      <x:c r="A112" t="str">
        <x:v>1993-11</x:v>
      </x:c>
      <x:c r="B112" t="n">
        <x:v>30</x:v>
      </x:c>
      <x:c r="C112" t="n">
        <x:v>30</x:v>
      </x:c>
      <x:c r="D112" s="79" t="n">
        <x:v>1</x:v>
      </x:c>
      <x:c r="E112" s="82" t="n">
        <x:v>11.1</x:v>
      </x:c>
      <x:c r="F112" t="str">
        <x:v>ACEPTADO</x:v>
      </x:c>
    </x:row>
    <x:row r="113">
      <x:c r="A113" t="str">
        <x:v>1993-12</x:v>
      </x:c>
      <x:c r="B113" t="n">
        <x:v>31</x:v>
      </x:c>
      <x:c r="C113" t="n">
        <x:v>31</x:v>
      </x:c>
      <x:c r="D113" s="79" t="n">
        <x:v>1</x:v>
      </x:c>
      <x:c r="E113" s="82" t="n">
        <x:v>8.9</x:v>
      </x:c>
      <x:c r="F113" t="str">
        <x:v>ACEPTADO</x:v>
      </x:c>
    </x:row>
    <x:row r="114">
      <x:c r="A114" t="str">
        <x:v>1994-01</x:v>
      </x:c>
      <x:c r="B114" t="n">
        <x:v>31</x:v>
      </x:c>
      <x:c r="C114" t="n">
        <x:v>31</x:v>
      </x:c>
      <x:c r="D114" s="79" t="n">
        <x:v>1</x:v>
      </x:c>
      <x:c r="E114" s="82" t="n">
        <x:v>37.2</x:v>
      </x:c>
      <x:c r="F114" t="str">
        <x:v>ACEPTADO</x:v>
      </x:c>
    </x:row>
    <x:row r="115">
      <x:c r="A115" t="str">
        <x:v>1994-02</x:v>
      </x:c>
      <x:c r="B115" t="n">
        <x:v>28</x:v>
      </x:c>
      <x:c r="C115" t="n">
        <x:v>28</x:v>
      </x:c>
      <x:c r="D115" s="79" t="n">
        <x:v>1</x:v>
      </x:c>
      <x:c r="E115" s="82" t="n">
        <x:v>39.4</x:v>
      </x:c>
      <x:c r="F115" t="str">
        <x:v>ACEPTADO</x:v>
      </x:c>
    </x:row>
    <x:row r="116">
      <x:c r="A116" t="str">
        <x:v>1994-03</x:v>
      </x:c>
      <x:c r="B116" t="n">
        <x:v>31</x:v>
      </x:c>
      <x:c r="C116" t="n">
        <x:v>31</x:v>
      </x:c>
      <x:c r="D116" s="79" t="n">
        <x:v>1</x:v>
      </x:c>
      <x:c r="E116" s="82" t="n">
        <x:v>29.9</x:v>
      </x:c>
      <x:c r="F116" t="str">
        <x:v>ACEPTADO</x:v>
      </x:c>
    </x:row>
    <x:row r="117">
      <x:c r="A117" t="str">
        <x:v>1994-04</x:v>
      </x:c>
      <x:c r="B117" t="n">
        <x:v>30</x:v>
      </x:c>
      <x:c r="C117" t="n">
        <x:v>30</x:v>
      </x:c>
      <x:c r="D117" s="79" t="n">
        <x:v>1</x:v>
      </x:c>
      <x:c r="E117" s="82" t="n">
        <x:v>461</x:v>
      </x:c>
      <x:c r="F117" t="str">
        <x:v>ACEPTADO</x:v>
      </x:c>
    </x:row>
    <x:row r="118">
      <x:c r="A118" t="str">
        <x:v>1994-05</x:v>
      </x:c>
      <x:c r="B118" t="n">
        <x:v>31</x:v>
      </x:c>
      <x:c r="C118" t="n">
        <x:v>31</x:v>
      </x:c>
      <x:c r="D118" s="79" t="n">
        <x:v>1</x:v>
      </x:c>
      <x:c r="E118" s="82" t="n">
        <x:v>485</x:v>
      </x:c>
      <x:c r="F118" t="str">
        <x:v>ACEPTADO</x:v>
      </x:c>
    </x:row>
    <x:row r="119">
      <x:c r="A119" t="str">
        <x:v>1994-06</x:v>
      </x:c>
      <x:c r="B119" t="n">
        <x:v>30</x:v>
      </x:c>
      <x:c r="C119" t="n">
        <x:v>30</x:v>
      </x:c>
      <x:c r="D119" s="79" t="n">
        <x:v>1</x:v>
      </x:c>
      <x:c r="E119" s="82" t="n">
        <x:v>210</x:v>
      </x:c>
      <x:c r="F119" t="str">
        <x:v>ACEPTADO</x:v>
      </x:c>
    </x:row>
    <x:row r="120">
      <x:c r="A120" t="str">
        <x:v>1994-07</x:v>
      </x:c>
      <x:c r="B120" t="n">
        <x:v>31</x:v>
      </x:c>
      <x:c r="C120" t="n">
        <x:v>31</x:v>
      </x:c>
      <x:c r="D120" s="79" t="n">
        <x:v>1</x:v>
      </x:c>
      <x:c r="E120" s="82" t="n">
        <x:v>32</x:v>
      </x:c>
      <x:c r="F120" t="str">
        <x:v>ACEPTADO</x:v>
      </x:c>
    </x:row>
    <x:row r="121">
      <x:c r="A121" t="str">
        <x:v>1994-08</x:v>
      </x:c>
      <x:c r="B121" t="n">
        <x:v>31</x:v>
      </x:c>
      <x:c r="C121" t="n">
        <x:v>31</x:v>
      </x:c>
      <x:c r="D121" s="79" t="n">
        <x:v>1</x:v>
      </x:c>
      <x:c r="E121" s="82" t="n">
        <x:v>35</x:v>
      </x:c>
      <x:c r="F121" t="str">
        <x:v>ACEPTADO</x:v>
      </x:c>
    </x:row>
    <x:row r="122">
      <x:c r="A122" t="str">
        <x:v>1994-09</x:v>
      </x:c>
      <x:c r="B122" t="n">
        <x:v>30</x:v>
      </x:c>
      <x:c r="C122" t="n">
        <x:v>30</x:v>
      </x:c>
      <x:c r="D122" s="79" t="n">
        <x:v>1</x:v>
      </x:c>
      <x:c r="E122" s="82" t="n">
        <x:v>75</x:v>
      </x:c>
      <x:c r="F122" t="str">
        <x:v>ACEPTADO</x:v>
      </x:c>
    </x:row>
    <x:row r="123">
      <x:c r="A123" t="str">
        <x:v>1994-10</x:v>
      </x:c>
      <x:c r="B123" t="n">
        <x:v>31</x:v>
      </x:c>
      <x:c r="C123" t="n">
        <x:v>31</x:v>
      </x:c>
      <x:c r="D123" s="79" t="n">
        <x:v>1</x:v>
      </x:c>
      <x:c r="E123" s="82" t="n">
        <x:v>181</x:v>
      </x:c>
      <x:c r="F123" t="str">
        <x:v>ACEPTADO</x:v>
      </x:c>
    </x:row>
    <x:row r="124">
      <x:c r="A124" t="str">
        <x:v>1994-11</x:v>
      </x:c>
      <x:c r="B124" t="n">
        <x:v>30</x:v>
      </x:c>
      <x:c r="C124" t="n">
        <x:v>30</x:v>
      </x:c>
      <x:c r="D124" s="79" t="n">
        <x:v>1</x:v>
      </x:c>
      <x:c r="E124" s="82" t="n">
        <x:v>62</x:v>
      </x:c>
      <x:c r="F124" t="str">
        <x:v>ACEPTADO</x:v>
      </x:c>
    </x:row>
    <x:row r="125">
      <x:c r="A125" t="str">
        <x:v>1994-12</x:v>
      </x:c>
      <x:c r="B125" t="n">
        <x:v>31</x:v>
      </x:c>
      <x:c r="C125" t="n">
        <x:v>31</x:v>
      </x:c>
      <x:c r="D125" s="79" t="n">
        <x:v>1</x:v>
      </x:c>
      <x:c r="E125" s="82" t="n">
        <x:v>244</x:v>
      </x:c>
      <x:c r="F125" t="str">
        <x:v>ACEPTADO</x:v>
      </x:c>
    </x:row>
    <x:row r="126">
      <x:c r="A126" t="str">
        <x:v>1995-01</x:v>
      </x:c>
      <x:c r="B126" t="n">
        <x:v>31</x:v>
      </x:c>
      <x:c r="C126" t="n">
        <x:v>31</x:v>
      </x:c>
      <x:c r="D126" s="79" t="n">
        <x:v>1</x:v>
      </x:c>
      <x:c r="E126" s="82" t="n">
        <x:v>106</x:v>
      </x:c>
      <x:c r="F126" t="str">
        <x:v>ACEPTADO</x:v>
      </x:c>
    </x:row>
    <x:row r="127">
      <x:c r="A127" t="str">
        <x:v>1995-02</x:v>
      </x:c>
      <x:c r="B127" t="n">
        <x:v>28</x:v>
      </x:c>
      <x:c r="C127" t="n">
        <x:v>28</x:v>
      </x:c>
      <x:c r="D127" s="79" t="n">
        <x:v>1</x:v>
      </x:c>
      <x:c r="E127" s="82" t="n">
        <x:v>119</x:v>
      </x:c>
      <x:c r="F127" t="str">
        <x:v>ACEPTADO</x:v>
      </x:c>
    </x:row>
    <x:row r="128">
      <x:c r="A128" t="str">
        <x:v>1995-03</x:v>
      </x:c>
      <x:c r="B128" t="n">
        <x:v>31</x:v>
      </x:c>
      <x:c r="C128" t="n">
        <x:v>31</x:v>
      </x:c>
      <x:c r="D128" s="79" t="n">
        <x:v>1</x:v>
      </x:c>
      <x:c r="E128" s="82" t="n">
        <x:v>54</x:v>
      </x:c>
      <x:c r="F128" t="str">
        <x:v>ACEPTADO</x:v>
      </x:c>
    </x:row>
    <x:row r="129">
      <x:c r="A129" t="str">
        <x:v>1995-04</x:v>
      </x:c>
      <x:c r="B129" t="n">
        <x:v>30</x:v>
      </x:c>
      <x:c r="C129" t="n">
        <x:v>30</x:v>
      </x:c>
      <x:c r="D129" s="79" t="n">
        <x:v>1</x:v>
      </x:c>
      <x:c r="E129" s="82" t="n">
        <x:v>351</x:v>
      </x:c>
      <x:c r="F129" t="str">
        <x:v>ACEPTADO</x:v>
      </x:c>
    </x:row>
    <x:row r="130">
      <x:c r="A130" t="str">
        <x:v>1995-05</x:v>
      </x:c>
      <x:c r="B130" t="n">
        <x:v>31</x:v>
      </x:c>
      <x:c r="C130" t="n">
        <x:v>31</x:v>
      </x:c>
      <x:c r="D130" s="79" t="n">
        <x:v>1</x:v>
      </x:c>
      <x:c r="E130" s="82" t="n">
        <x:v>445</x:v>
      </x:c>
      <x:c r="F130" t="str">
        <x:v>ACEPTADO</x:v>
      </x:c>
    </x:row>
    <x:row r="131">
      <x:c r="A131" t="str">
        <x:v>1995-06</x:v>
      </x:c>
      <x:c r="B131" t="n">
        <x:v>30</x:v>
      </x:c>
      <x:c r="C131" t="n">
        <x:v>30</x:v>
      </x:c>
      <x:c r="D131" s="79" t="n">
        <x:v>1</x:v>
      </x:c>
      <x:c r="E131" s="82" t="n">
        <x:v>213</x:v>
      </x:c>
      <x:c r="F131" t="str">
        <x:v>ACEPTADO</x:v>
      </x:c>
    </x:row>
    <x:row r="132">
      <x:c r="A132" t="str">
        <x:v>1995-07</x:v>
      </x:c>
      <x:c r="B132" t="n">
        <x:v>31</x:v>
      </x:c>
      <x:c r="C132" t="n">
        <x:v>31</x:v>
      </x:c>
      <x:c r="D132" s="79" t="n">
        <x:v>1</x:v>
      </x:c>
      <x:c r="E132" s="82" t="n">
        <x:v>194</x:v>
      </x:c>
      <x:c r="F132" t="str">
        <x:v>ACEPTADO</x:v>
      </x:c>
    </x:row>
    <x:row r="133">
      <x:c r="A133" t="str">
        <x:v>1995-08</x:v>
      </x:c>
      <x:c r="B133" t="n">
        <x:v>31</x:v>
      </x:c>
      <x:c r="C133" t="n">
        <x:v>31</x:v>
      </x:c>
      <x:c r="D133" s="79" t="n">
        <x:v>1</x:v>
      </x:c>
      <x:c r="E133" s="82" t="n">
        <x:v>135</x:v>
      </x:c>
      <x:c r="F133" t="str">
        <x:v>ACEPTADO</x:v>
      </x:c>
    </x:row>
    <x:row r="134">
      <x:c r="A134" t="str">
        <x:v>1995-09</x:v>
      </x:c>
      <x:c r="B134" t="n">
        <x:v>30</x:v>
      </x:c>
      <x:c r="C134" t="n">
        <x:v>30</x:v>
      </x:c>
      <x:c r="D134" s="79" t="n">
        <x:v>1</x:v>
      </x:c>
      <x:c r="E134" s="82" t="n">
        <x:v>79</x:v>
      </x:c>
      <x:c r="F134" t="str">
        <x:v>ACEPTADO</x:v>
      </x:c>
    </x:row>
    <x:row r="135">
      <x:c r="A135" t="str">
        <x:v>1995-10</x:v>
      </x:c>
      <x:c r="B135" t="n">
        <x:v>31</x:v>
      </x:c>
      <x:c r="C135" t="n">
        <x:v>31</x:v>
      </x:c>
      <x:c r="D135" s="79" t="n">
        <x:v>1</x:v>
      </x:c>
      <x:c r="E135" s="82" t="n">
        <x:v>242</x:v>
      </x:c>
      <x:c r="F135" t="str">
        <x:v>ACEPTADO</x:v>
      </x:c>
    </x:row>
    <x:row r="136">
      <x:c r="A136" t="str">
        <x:v>1995-11</x:v>
      </x:c>
      <x:c r="B136" t="n">
        <x:v>30</x:v>
      </x:c>
      <x:c r="C136" t="n">
        <x:v>30</x:v>
      </x:c>
      <x:c r="D136" s="79" t="n">
        <x:v>1</x:v>
      </x:c>
      <x:c r="E136" s="82" t="n">
        <x:v>136</x:v>
      </x:c>
      <x:c r="F136" t="str">
        <x:v>ACEPTADO</x:v>
      </x:c>
    </x:row>
    <x:row r="137">
      <x:c r="A137" t="str">
        <x:v>1995-12</x:v>
      </x:c>
      <x:c r="B137" t="n">
        <x:v>31</x:v>
      </x:c>
      <x:c r="C137" t="n">
        <x:v>31</x:v>
      </x:c>
      <x:c r="D137" s="79" t="n">
        <x:v>1</x:v>
      </x:c>
      <x:c r="E137" s="82" t="n">
        <x:v>168</x:v>
      </x:c>
      <x:c r="F137" t="str">
        <x:v>ACEPTADO</x:v>
      </x:c>
    </x:row>
    <x:row r="138">
      <x:c r="A138" t="str">
        <x:v>1996-01</x:v>
      </x:c>
      <x:c r="B138" t="n">
        <x:v>31</x:v>
      </x:c>
      <x:c r="C138" t="n">
        <x:v>31</x:v>
      </x:c>
      <x:c r="D138" s="79" t="n">
        <x:v>1</x:v>
      </x:c>
      <x:c r="E138" s="82" t="n">
        <x:v>299</x:v>
      </x:c>
      <x:c r="F138" t="str">
        <x:v>ACEPTADO</x:v>
      </x:c>
    </x:row>
    <x:row r="139">
      <x:c r="A139" t="str">
        <x:v>1996-02</x:v>
      </x:c>
      <x:c r="B139" t="n">
        <x:v>29</x:v>
      </x:c>
      <x:c r="C139" t="n">
        <x:v>29</x:v>
      </x:c>
      <x:c r="D139" s="79" t="n">
        <x:v>1</x:v>
      </x:c>
      <x:c r="E139" s="82" t="n">
        <x:v>293</x:v>
      </x:c>
      <x:c r="F139" t="str">
        <x:v>ACEPTADO</x:v>
      </x:c>
    </x:row>
    <x:row r="140">
      <x:c r="A140" t="str">
        <x:v>1996-03</x:v>
      </x:c>
      <x:c r="B140" t="n">
        <x:v>31</x:v>
      </x:c>
      <x:c r="C140" t="n">
        <x:v>31</x:v>
      </x:c>
      <x:c r="D140" s="79" t="n">
        <x:v>1</x:v>
      </x:c>
      <x:c r="E140" s="82" t="n">
        <x:v>264</x:v>
      </x:c>
      <x:c r="F140" t="str">
        <x:v>ACEPTADO</x:v>
      </x:c>
    </x:row>
    <x:row r="141">
      <x:c r="A141" t="str">
        <x:v>1996-04</x:v>
      </x:c>
      <x:c r="B141" t="n">
        <x:v>29</x:v>
      </x:c>
      <x:c r="C141" t="n">
        <x:v>30</x:v>
      </x:c>
      <x:c r="D141" s="79" t="n">
        <x:v>0.96667</x:v>
      </x:c>
      <x:c r="E141" s="82" t="n">
        <x:v>153</x:v>
      </x:c>
      <x:c r="F141" t="str">
        <x:v>ACEPTADO</x:v>
      </x:c>
    </x:row>
    <x:row r="142">
      <x:c r="A142" t="str">
        <x:v>1996-05</x:v>
      </x:c>
      <x:c r="B142" t="n">
        <x:v>31</x:v>
      </x:c>
      <x:c r="C142" t="n">
        <x:v>31</x:v>
      </x:c>
      <x:c r="D142" s="79" t="n">
        <x:v>1</x:v>
      </x:c>
      <x:c r="E142" s="82" t="n">
        <x:v>421</x:v>
      </x:c>
      <x:c r="F142" t="str">
        <x:v>ACEPTADO</x:v>
      </x:c>
    </x:row>
    <x:row r="143">
      <x:c r="A143" t="str">
        <x:v>1996-06</x:v>
      </x:c>
      <x:c r="B143" t="n">
        <x:v>29</x:v>
      </x:c>
      <x:c r="C143" t="n">
        <x:v>30</x:v>
      </x:c>
      <x:c r="D143" s="79" t="n">
        <x:v>0.96667</x:v>
      </x:c>
      <x:c r="E143" s="82" t="n">
        <x:v>130</x:v>
      </x:c>
      <x:c r="F143" t="str">
        <x:v>ACEPTADO</x:v>
      </x:c>
    </x:row>
    <x:row r="144">
      <x:c r="A144" t="str">
        <x:v>1996-07</x:v>
      </x:c>
      <x:c r="B144" t="n">
        <x:v>31</x:v>
      </x:c>
      <x:c r="C144" t="n">
        <x:v>31</x:v>
      </x:c>
      <x:c r="D144" s="79" t="n">
        <x:v>1</x:v>
      </x:c>
      <x:c r="E144" s="82" t="n">
        <x:v>78</x:v>
      </x:c>
      <x:c r="F144" t="str">
        <x:v>ACEPTADO</x:v>
      </x:c>
    </x:row>
    <x:row r="145">
      <x:c r="A145" t="str">
        <x:v>1996-08</x:v>
      </x:c>
      <x:c r="B145" t="n">
        <x:v>31</x:v>
      </x:c>
      <x:c r="C145" t="n">
        <x:v>31</x:v>
      </x:c>
      <x:c r="D145" s="79" t="n">
        <x:v>1</x:v>
      </x:c>
      <x:c r="E145" s="82" t="n">
        <x:v>45</x:v>
      </x:c>
      <x:c r="F145" t="str">
        <x:v>ACEPTADO</x:v>
      </x:c>
    </x:row>
    <x:row r="146">
      <x:c r="A146" t="str">
        <x:v>1996-09</x:v>
      </x:c>
      <x:c r="B146" t="n">
        <x:v>30</x:v>
      </x:c>
      <x:c r="C146" t="n">
        <x:v>30</x:v>
      </x:c>
      <x:c r="D146" s="79" t="n">
        <x:v>1</x:v>
      </x:c>
      <x:c r="E146" s="82" t="n">
        <x:v>89</x:v>
      </x:c>
      <x:c r="F146" t="str">
        <x:v>ACEPTADO</x:v>
      </x:c>
    </x:row>
    <x:row r="147">
      <x:c r="A147" t="str">
        <x:v>1996-10</x:v>
      </x:c>
      <x:c r="B147" t="n">
        <x:v>31</x:v>
      </x:c>
      <x:c r="C147" t="n">
        <x:v>31</x:v>
      </x:c>
      <x:c r="D147" s="79" t="n">
        <x:v>1</x:v>
      </x:c>
      <x:c r="E147" s="82" t="n">
        <x:v>51</x:v>
      </x:c>
      <x:c r="F147" t="str">
        <x:v>ACEPTADO</x:v>
      </x:c>
    </x:row>
    <x:row r="148">
      <x:c r="A148" t="str">
        <x:v>1996-11</x:v>
      </x:c>
      <x:c r="B148" t="n">
        <x:v>30</x:v>
      </x:c>
      <x:c r="C148" t="n">
        <x:v>30</x:v>
      </x:c>
      <x:c r="D148" s="79" t="n">
        <x:v>1</x:v>
      </x:c>
      <x:c r="E148" s="82" t="n">
        <x:v>14</x:v>
      </x:c>
      <x:c r="F148" t="str">
        <x:v>ACEPTADO</x:v>
      </x:c>
    </x:row>
    <x:row r="149">
      <x:c r="A149" t="str">
        <x:v>1996-12</x:v>
      </x:c>
      <x:c r="B149" t="n">
        <x:v>31</x:v>
      </x:c>
      <x:c r="C149" t="n">
        <x:v>31</x:v>
      </x:c>
      <x:c r="D149" s="79" t="n">
        <x:v>1</x:v>
      </x:c>
      <x:c r="E149" s="82" t="n">
        <x:v>156</x:v>
      </x:c>
      <x:c r="F149" t="str">
        <x:v>ACEPTADO</x:v>
      </x:c>
    </x:row>
    <x:row r="150">
      <x:c r="A150" t="str">
        <x:v>1997-01</x:v>
      </x:c>
      <x:c r="B150" t="n">
        <x:v>31</x:v>
      </x:c>
      <x:c r="C150" t="n">
        <x:v>31</x:v>
      </x:c>
      <x:c r="D150" s="79" t="n">
        <x:v>1</x:v>
      </x:c>
      <x:c r="E150" s="82" t="n">
        <x:v>126</x:v>
      </x:c>
      <x:c r="F150" t="str">
        <x:v>ACEPTADO</x:v>
      </x:c>
    </x:row>
    <x:row r="151">
      <x:c r="A151" t="str">
        <x:v>1997-02</x:v>
      </x:c>
      <x:c r="B151" t="n">
        <x:v>28</x:v>
      </x:c>
      <x:c r="C151" t="n">
        <x:v>28</x:v>
      </x:c>
      <x:c r="D151" s="79" t="n">
        <x:v>1</x:v>
      </x:c>
      <x:c r="E151" s="82" t="n">
        <x:v>131</x:v>
      </x:c>
      <x:c r="F151" t="str">
        <x:v>ACEPTADO</x:v>
      </x:c>
    </x:row>
    <x:row r="152">
      <x:c r="A152" t="str">
        <x:v>1997-03</x:v>
      </x:c>
      <x:c r="B152" t="n">
        <x:v>31</x:v>
      </x:c>
      <x:c r="C152" t="n">
        <x:v>31</x:v>
      </x:c>
      <x:c r="D152" s="79" t="n">
        <x:v>1</x:v>
      </x:c>
      <x:c r="E152" s="82" t="n">
        <x:v>118</x:v>
      </x:c>
      <x:c r="F152" t="str">
        <x:v>ACEPTADO</x:v>
      </x:c>
    </x:row>
    <x:row r="153">
      <x:c r="A153" t="str">
        <x:v>1997-04</x:v>
      </x:c>
      <x:c r="B153" t="n">
        <x:v>30</x:v>
      </x:c>
      <x:c r="C153" t="n">
        <x:v>30</x:v>
      </x:c>
      <x:c r="D153" s="79" t="n">
        <x:v>1</x:v>
      </x:c>
      <x:c r="E153" s="82" t="n">
        <x:v>242</x:v>
      </x:c>
      <x:c r="F153" t="str">
        <x:v>ACEPTADO</x:v>
      </x:c>
    </x:row>
    <x:row r="154">
      <x:c r="A154" t="str">
        <x:v>1997-05</x:v>
      </x:c>
      <x:c r="B154" t="n">
        <x:v>31</x:v>
      </x:c>
      <x:c r="C154" t="n">
        <x:v>31</x:v>
      </x:c>
      <x:c r="D154" s="79" t="n">
        <x:v>1</x:v>
      </x:c>
      <x:c r="E154" s="82" t="n">
        <x:v>376</x:v>
      </x:c>
      <x:c r="F154" t="str">
        <x:v>ACEPTADO</x:v>
      </x:c>
    </x:row>
    <x:row r="155">
      <x:c r="A155" t="str">
        <x:v>1997-06</x:v>
      </x:c>
      <x:c r="B155" t="n">
        <x:v>30</x:v>
      </x:c>
      <x:c r="C155" t="n">
        <x:v>30</x:v>
      </x:c>
      <x:c r="D155" s="79" t="n">
        <x:v>1</x:v>
      </x:c>
      <x:c r="E155" s="82" t="n">
        <x:v>115</x:v>
      </x:c>
      <x:c r="F155" t="str">
        <x:v>ACEPTADO</x:v>
      </x:c>
    </x:row>
    <x:row r="156">
      <x:c r="A156" t="str">
        <x:v>1997-07</x:v>
      </x:c>
      <x:c r="B156" t="n">
        <x:v>31</x:v>
      </x:c>
      <x:c r="C156" t="n">
        <x:v>31</x:v>
      </x:c>
      <x:c r="D156" s="79" t="n">
        <x:v>1</x:v>
      </x:c>
      <x:c r="E156" s="82" t="n">
        <x:v>284</x:v>
      </x:c>
      <x:c r="F156" t="str">
        <x:v>ACEPTADO</x:v>
      </x:c>
    </x:row>
    <x:row r="157">
      <x:c r="A157" t="str">
        <x:v>1997-08</x:v>
      </x:c>
      <x:c r="B157" t="n">
        <x:v>31</x:v>
      </x:c>
      <x:c r="C157" t="n">
        <x:v>31</x:v>
      </x:c>
      <x:c r="D157" s="79" t="n">
        <x:v>1</x:v>
      </x:c>
      <x:c r="E157" s="82" t="n">
        <x:v>142</x:v>
      </x:c>
      <x:c r="F157" t="str">
        <x:v>ACEPTADO</x:v>
      </x:c>
    </x:row>
    <x:row r="158">
      <x:c r="A158" t="str">
        <x:v>1997-09</x:v>
      </x:c>
      <x:c r="B158" t="n">
        <x:v>30</x:v>
      </x:c>
      <x:c r="C158" t="n">
        <x:v>30</x:v>
      </x:c>
      <x:c r="D158" s="79" t="n">
        <x:v>1</x:v>
      </x:c>
      <x:c r="E158" s="82" t="n">
        <x:v>67</x:v>
      </x:c>
      <x:c r="F158" t="str">
        <x:v>ACEPTADO</x:v>
      </x:c>
    </x:row>
    <x:row r="159">
      <x:c r="A159" t="str">
        <x:v>1997-10</x:v>
      </x:c>
      <x:c r="B159" t="n">
        <x:v>31</x:v>
      </x:c>
      <x:c r="C159" t="n">
        <x:v>31</x:v>
      </x:c>
      <x:c r="D159" s="79" t="n">
        <x:v>1</x:v>
      </x:c>
      <x:c r="E159" s="82" t="n">
        <x:v>330</x:v>
      </x:c>
      <x:c r="F159" t="str">
        <x:v>ACEPTADO</x:v>
      </x:c>
    </x:row>
    <x:row r="160">
      <x:c r="A160" t="str">
        <x:v>1997-11</x:v>
      </x:c>
      <x:c r="B160" t="n">
        <x:v>30</x:v>
      </x:c>
      <x:c r="C160" t="n">
        <x:v>30</x:v>
      </x:c>
      <x:c r="D160" s="79" t="n">
        <x:v>1</x:v>
      </x:c>
      <x:c r="E160" s="82" t="n">
        <x:v>312</x:v>
      </x:c>
      <x:c r="F160" t="str">
        <x:v>ACEPTADO</x:v>
      </x:c>
    </x:row>
    <x:row r="161">
      <x:c r="A161" t="str">
        <x:v>1997-12</x:v>
      </x:c>
      <x:c r="B161" t="n">
        <x:v>31</x:v>
      </x:c>
      <x:c r="C161" t="n">
        <x:v>31</x:v>
      </x:c>
      <x:c r="D161" s="79" t="n">
        <x:v>1</x:v>
      </x:c>
      <x:c r="E161" s="82" t="n">
        <x:v>205</x:v>
      </x:c>
      <x:c r="F161" t="str">
        <x:v>ACEPTADO</x:v>
      </x:c>
    </x:row>
    <x:row r="162">
      <x:c r="A162" t="str">
        <x:v>1998-01</x:v>
      </x:c>
      <x:c r="B162" t="n">
        <x:v>31</x:v>
      </x:c>
      <x:c r="C162" t="n">
        <x:v>31</x:v>
      </x:c>
      <x:c r="D162" s="79" t="n">
        <x:v>1</x:v>
      </x:c>
      <x:c r="E162" s="82" t="n">
        <x:v>597</x:v>
      </x:c>
      <x:c r="F162" t="str">
        <x:v>ACEPTADO</x:v>
      </x:c>
    </x:row>
    <x:row r="163">
      <x:c r="A163" t="str">
        <x:v>1998-02</x:v>
      </x:c>
      <x:c r="B163" t="n">
        <x:v>28</x:v>
      </x:c>
      <x:c r="C163" t="n">
        <x:v>28</x:v>
      </x:c>
      <x:c r="D163" s="79" t="n">
        <x:v>1</x:v>
      </x:c>
      <x:c r="E163" s="82" t="n">
        <x:v>527</x:v>
      </x:c>
      <x:c r="F163" t="str">
        <x:v>ACEPTADO</x:v>
      </x:c>
    </x:row>
    <x:row r="164">
      <x:c r="A164" t="str">
        <x:v>1998-03</x:v>
      </x:c>
      <x:c r="B164" t="n">
        <x:v>31</x:v>
      </x:c>
      <x:c r="C164" t="n">
        <x:v>31</x:v>
      </x:c>
      <x:c r="D164" s="79" t="n">
        <x:v>1</x:v>
      </x:c>
      <x:c r="E164" s="82" t="n">
        <x:v>372</x:v>
      </x:c>
      <x:c r="F164" t="str">
        <x:v>ACEPTADO</x:v>
      </x:c>
    </x:row>
    <x:row r="165">
      <x:c r="A165" t="str">
        <x:v>1998-04</x:v>
      </x:c>
      <x:c r="B165" t="n">
        <x:v>30</x:v>
      </x:c>
      <x:c r="C165" t="n">
        <x:v>30</x:v>
      </x:c>
      <x:c r="D165" s="79" t="n">
        <x:v>1</x:v>
      </x:c>
      <x:c r="E165" s="82" t="n">
        <x:v>399</x:v>
      </x:c>
      <x:c r="F165" t="str">
        <x:v>ACEPTADO</x:v>
      </x:c>
    </x:row>
    <x:row r="166">
      <x:c r="A166" t="str">
        <x:v>1998-05</x:v>
      </x:c>
      <x:c r="B166" t="n">
        <x:v>31</x:v>
      </x:c>
      <x:c r="C166" t="n">
        <x:v>31</x:v>
      </x:c>
      <x:c r="D166" s="79" t="n">
        <x:v>1</x:v>
      </x:c>
      <x:c r="E166" s="82" t="n">
        <x:v>565</x:v>
      </x:c>
      <x:c r="F166" t="str">
        <x:v>ACEPTADO</x:v>
      </x:c>
    </x:row>
    <x:row r="167">
      <x:c r="A167" t="str">
        <x:v>1998-06</x:v>
      </x:c>
      <x:c r="B167" t="n">
        <x:v>30</x:v>
      </x:c>
      <x:c r="C167" t="n">
        <x:v>30</x:v>
      </x:c>
      <x:c r="D167" s="79" t="n">
        <x:v>1</x:v>
      </x:c>
      <x:c r="E167" s="82" t="n">
        <x:v>524</x:v>
      </x:c>
      <x:c r="F167" t="str">
        <x:v>ACEPTADO</x:v>
      </x:c>
    </x:row>
    <x:row r="168">
      <x:c r="A168" t="str">
        <x:v>1998-07</x:v>
      </x:c>
      <x:c r="B168" t="n">
        <x:v>31</x:v>
      </x:c>
      <x:c r="C168" t="n">
        <x:v>31</x:v>
      </x:c>
      <x:c r="D168" s="79" t="n">
        <x:v>1</x:v>
      </x:c>
      <x:c r="E168" s="82" t="n">
        <x:v>494</x:v>
      </x:c>
      <x:c r="F168" t="str">
        <x:v>ACEPTADO</x:v>
      </x:c>
    </x:row>
    <x:row r="169">
      <x:c r="A169" t="str">
        <x:v>1998-08</x:v>
      </x:c>
      <x:c r="B169" t="n">
        <x:v>31</x:v>
      </x:c>
      <x:c r="C169" t="n">
        <x:v>31</x:v>
      </x:c>
      <x:c r="D169" s="79" t="n">
        <x:v>1</x:v>
      </x:c>
      <x:c r="E169" s="82" t="n">
        <x:v>152</x:v>
      </x:c>
      <x:c r="F169" t="str">
        <x:v>ACEPTADO</x:v>
      </x:c>
    </x:row>
    <x:row r="170">
      <x:c r="A170" t="str">
        <x:v>1998-09</x:v>
      </x:c>
      <x:c r="B170" t="n">
        <x:v>30</x:v>
      </x:c>
      <x:c r="C170" t="n">
        <x:v>30</x:v>
      </x:c>
      <x:c r="D170" s="79" t="n">
        <x:v>1</x:v>
      </x:c>
      <x:c r="E170" s="82" t="n">
        <x:v>229</x:v>
      </x:c>
      <x:c r="F170" t="str">
        <x:v>ACEPTADO</x:v>
      </x:c>
    </x:row>
    <x:row r="171">
      <x:c r="A171" t="str">
        <x:v>1998-10</x:v>
      </x:c>
      <x:c r="B171" t="n">
        <x:v>31</x:v>
      </x:c>
      <x:c r="C171" t="n">
        <x:v>31</x:v>
      </x:c>
      <x:c r="D171" s="79" t="n">
        <x:v>1</x:v>
      </x:c>
      <x:c r="E171" s="82" t="n">
        <x:v>37</x:v>
      </x:c>
      <x:c r="F171" t="str">
        <x:v>ACEPTADO</x:v>
      </x:c>
    </x:row>
    <x:row r="172">
      <x:c r="A172" t="str">
        <x:v>1998-11</x:v>
      </x:c>
      <x:c r="B172" t="n">
        <x:v>30</x:v>
      </x:c>
      <x:c r="C172" t="n">
        <x:v>30</x:v>
      </x:c>
      <x:c r="D172" s="79" t="n">
        <x:v>1</x:v>
      </x:c>
      <x:c r="E172" s="82" t="n">
        <x:v>38</x:v>
      </x:c>
      <x:c r="F172" t="str">
        <x:v>ACEPTADO</x:v>
      </x:c>
    </x:row>
    <x:row r="173">
      <x:c r="A173" t="str">
        <x:v>1998-12</x:v>
      </x:c>
      <x:c r="B173" t="n">
        <x:v>31</x:v>
      </x:c>
      <x:c r="C173" t="n">
        <x:v>31</x:v>
      </x:c>
      <x:c r="D173" s="79" t="n">
        <x:v>1</x:v>
      </x:c>
      <x:c r="E173" s="82" t="n">
        <x:v>36</x:v>
      </x:c>
      <x:c r="F173" t="str">
        <x:v>ACEPTADO</x:v>
      </x:c>
    </x:row>
    <x:row r="174">
      <x:c r="A174" t="str">
        <x:v>1999-01</x:v>
      </x:c>
      <x:c r="B174" t="n">
        <x:v>31</x:v>
      </x:c>
      <x:c r="C174" t="n">
        <x:v>31</x:v>
      </x:c>
      <x:c r="D174" s="79" t="n">
        <x:v>1</x:v>
      </x:c>
      <x:c r="E174" s="82" t="n">
        <x:v>250</x:v>
      </x:c>
      <x:c r="F174" t="str">
        <x:v>ACEPTADO</x:v>
      </x:c>
    </x:row>
    <x:row r="175">
      <x:c r="A175" t="str">
        <x:v>1999-02</x:v>
      </x:c>
      <x:c r="B175" t="n">
        <x:v>28</x:v>
      </x:c>
      <x:c r="C175" t="n">
        <x:v>28</x:v>
      </x:c>
      <x:c r="D175" s="79" t="n">
        <x:v>1</x:v>
      </x:c>
      <x:c r="E175" s="82" t="n">
        <x:v>390</x:v>
      </x:c>
      <x:c r="F175" t="str">
        <x:v>ACEPTADO</x:v>
      </x:c>
    </x:row>
    <x:row r="176">
      <x:c r="A176" t="str">
        <x:v>1999-03</x:v>
      </x:c>
      <x:c r="B176" t="n">
        <x:v>31</x:v>
      </x:c>
      <x:c r="C176" t="n">
        <x:v>31</x:v>
      </x:c>
      <x:c r="D176" s="79" t="n">
        <x:v>1</x:v>
      </x:c>
      <x:c r="E176" s="82" t="n">
        <x:v>151</x:v>
      </x:c>
      <x:c r="F176" t="str">
        <x:v>ACEPTADO</x:v>
      </x:c>
    </x:row>
    <x:row r="177">
      <x:c r="A177" t="str">
        <x:v>1999-04</x:v>
      </x:c>
      <x:c r="B177" t="n">
        <x:v>30</x:v>
      </x:c>
      <x:c r="C177" t="n">
        <x:v>30</x:v>
      </x:c>
      <x:c r="D177" s="79" t="n">
        <x:v>1</x:v>
      </x:c>
      <x:c r="E177" s="82" t="n">
        <x:v>735</x:v>
      </x:c>
      <x:c r="F177" t="str">
        <x:v>ACEPTADO</x:v>
      </x:c>
    </x:row>
    <x:row r="178">
      <x:c r="A178" t="str">
        <x:v>1999-05</x:v>
      </x:c>
      <x:c r="B178" t="n">
        <x:v>31</x:v>
      </x:c>
      <x:c r="C178" t="n">
        <x:v>31</x:v>
      </x:c>
      <x:c r="D178" s="79" t="n">
        <x:v>1</x:v>
      </x:c>
      <x:c r="E178" s="82" t="n">
        <x:v>453</x:v>
      </x:c>
      <x:c r="F178" t="str">
        <x:v>ACEPTADO</x:v>
      </x:c>
    </x:row>
    <x:row r="179">
      <x:c r="A179" t="str">
        <x:v>1999-06</x:v>
      </x:c>
      <x:c r="B179" t="n">
        <x:v>30</x:v>
      </x:c>
      <x:c r="C179" t="n">
        <x:v>30</x:v>
      </x:c>
      <x:c r="D179" s="79" t="n">
        <x:v>1</x:v>
      </x:c>
      <x:c r="E179" s="82" t="n">
        <x:v>517</x:v>
      </x:c>
      <x:c r="F179" t="str">
        <x:v>ACEPTADO</x:v>
      </x:c>
    </x:row>
    <x:row r="180">
      <x:c r="A180" t="str">
        <x:v>1999-07</x:v>
      </x:c>
      <x:c r="B180" t="n">
        <x:v>31</x:v>
      </x:c>
      <x:c r="C180" t="n">
        <x:v>31</x:v>
      </x:c>
      <x:c r="D180" s="79" t="n">
        <x:v>1</x:v>
      </x:c>
      <x:c r="E180" s="82" t="n">
        <x:v>103</x:v>
      </x:c>
      <x:c r="F180" t="str">
        <x:v>ACEPTADO</x:v>
      </x:c>
    </x:row>
    <x:row r="181">
      <x:c r="A181" t="str">
        <x:v>1999-08</x:v>
      </x:c>
      <x:c r="B181" t="n">
        <x:v>31</x:v>
      </x:c>
      <x:c r="C181" t="n">
        <x:v>31</x:v>
      </x:c>
      <x:c r="D181" s="79" t="n">
        <x:v>1</x:v>
      </x:c>
      <x:c r="E181" s="82" t="n">
        <x:v>26</x:v>
      </x:c>
      <x:c r="F181" t="str">
        <x:v>ACEPTADO</x:v>
      </x:c>
    </x:row>
    <x:row r="182">
      <x:c r="A182" t="str">
        <x:v>1999-09</x:v>
      </x:c>
      <x:c r="B182" t="n">
        <x:v>30</x:v>
      </x:c>
      <x:c r="C182" t="n">
        <x:v>30</x:v>
      </x:c>
      <x:c r="D182" s="79" t="n">
        <x:v>1</x:v>
      </x:c>
      <x:c r="E182" s="82" t="n">
        <x:v>224</x:v>
      </x:c>
      <x:c r="F182" t="str">
        <x:v>ACEPTADO</x:v>
      </x:c>
    </x:row>
    <x:row r="183">
      <x:c r="A183" t="str">
        <x:v>1999-10</x:v>
      </x:c>
      <x:c r="B183" t="n">
        <x:v>31</x:v>
      </x:c>
      <x:c r="C183" t="n">
        <x:v>31</x:v>
      </x:c>
      <x:c r="D183" s="79" t="n">
        <x:v>1</x:v>
      </x:c>
      <x:c r="E183" s="82" t="n">
        <x:v>282</x:v>
      </x:c>
      <x:c r="F183" t="str">
        <x:v>ACEPTADO</x:v>
      </x:c>
    </x:row>
    <x:row r="184">
      <x:c r="A184" t="str">
        <x:v>1999-11</x:v>
      </x:c>
      <x:c r="B184" t="n">
        <x:v>30</x:v>
      </x:c>
      <x:c r="C184" t="n">
        <x:v>30</x:v>
      </x:c>
      <x:c r="D184" s="79" t="n">
        <x:v>1</x:v>
      </x:c>
      <x:c r="E184" s="82" t="n">
        <x:v>190</x:v>
      </x:c>
      <x:c r="F184" t="str">
        <x:v>ACEPTADO</x:v>
      </x:c>
    </x:row>
    <x:row r="185">
      <x:c r="A185" t="str">
        <x:v>1999-12</x:v>
      </x:c>
      <x:c r="B185" t="n">
        <x:v>31</x:v>
      </x:c>
      <x:c r="C185" t="n">
        <x:v>31</x:v>
      </x:c>
      <x:c r="D185" s="79" t="n">
        <x:v>1</x:v>
      </x:c>
      <x:c r="E185" s="82" t="n">
        <x:v>173</x:v>
      </x:c>
      <x:c r="F185" t="str">
        <x:v>ACEPTADO</x:v>
      </x:c>
    </x:row>
    <x:row r="186">
      <x:c r="A186" t="str">
        <x:v>2000-01</x:v>
      </x:c>
      <x:c r="B186" t="n">
        <x:v>31</x:v>
      </x:c>
      <x:c r="C186" t="n">
        <x:v>31</x:v>
      </x:c>
      <x:c r="D186" s="79" t="n">
        <x:v>1</x:v>
      </x:c>
      <x:c r="E186" s="82" t="n">
        <x:v>217</x:v>
      </x:c>
      <x:c r="F186" t="str">
        <x:v>ACEPTADO</x:v>
      </x:c>
    </x:row>
    <x:row r="187">
      <x:c r="A187" t="str">
        <x:v>2000-02</x:v>
      </x:c>
      <x:c r="B187" t="n">
        <x:v>29</x:v>
      </x:c>
      <x:c r="C187" t="n">
        <x:v>29</x:v>
      </x:c>
      <x:c r="D187" s="79" t="n">
        <x:v>1</x:v>
      </x:c>
      <x:c r="E187" s="82" t="n">
        <x:v>254</x:v>
      </x:c>
      <x:c r="F187" t="str">
        <x:v>ACEPTADO</x:v>
      </x:c>
    </x:row>
    <x:row r="188">
      <x:c r="A188" t="str">
        <x:v>2000-03</x:v>
      </x:c>
      <x:c r="B188" t="n">
        <x:v>31</x:v>
      </x:c>
      <x:c r="C188" t="n">
        <x:v>31</x:v>
      </x:c>
      <x:c r="D188" s="79" t="n">
        <x:v>1</x:v>
      </x:c>
      <x:c r="E188" s="82" t="n">
        <x:v>234.6</x:v>
      </x:c>
      <x:c r="F188" t="str">
        <x:v>ACEPTADO</x:v>
      </x:c>
    </x:row>
    <x:row r="189">
      <x:c r="A189" t="str">
        <x:v>2000-04</x:v>
      </x:c>
      <x:c r="B189" t="n">
        <x:v>30</x:v>
      </x:c>
      <x:c r="C189" t="n">
        <x:v>30</x:v>
      </x:c>
      <x:c r="D189" s="79" t="n">
        <x:v>1</x:v>
      </x:c>
      <x:c r="E189" s="82" t="n">
        <x:v>404</x:v>
      </x:c>
      <x:c r="F189" t="str">
        <x:v>ACEPTADO</x:v>
      </x:c>
    </x:row>
    <x:row r="190">
      <x:c r="A190" t="str">
        <x:v>2000-05</x:v>
      </x:c>
      <x:c r="B190" t="n">
        <x:v>31</x:v>
      </x:c>
      <x:c r="C190" t="n">
        <x:v>31</x:v>
      </x:c>
      <x:c r="D190" s="79" t="n">
        <x:v>1</x:v>
      </x:c>
      <x:c r="E190" s="82" t="n">
        <x:v>349</x:v>
      </x:c>
      <x:c r="F190" t="str">
        <x:v>ACEPTADO</x:v>
      </x:c>
    </x:row>
    <x:row r="191">
      <x:c r="A191" t="str">
        <x:v>2000-06</x:v>
      </x:c>
      <x:c r="B191" t="n">
        <x:v>30</x:v>
      </x:c>
      <x:c r="C191" t="n">
        <x:v>30</x:v>
      </x:c>
      <x:c r="D191" s="79" t="n">
        <x:v>1</x:v>
      </x:c>
      <x:c r="E191" s="82" t="n">
        <x:v>259</x:v>
      </x:c>
      <x:c r="F191" t="str">
        <x:v>ACEPTADO</x:v>
      </x:c>
    </x:row>
    <x:row r="192">
      <x:c r="A192" t="str">
        <x:v>2000-07</x:v>
      </x:c>
      <x:c r="B192" t="n">
        <x:v>31</x:v>
      </x:c>
      <x:c r="C192" t="n">
        <x:v>31</x:v>
      </x:c>
      <x:c r="D192" s="79" t="n">
        <x:v>1</x:v>
      </x:c>
      <x:c r="E192" s="82" t="n">
        <x:v>129</x:v>
      </x:c>
      <x:c r="F192" t="str">
        <x:v>ACEPTADO</x:v>
      </x:c>
    </x:row>
    <x:row r="193">
      <x:c r="A193" t="str">
        <x:v>2000-08</x:v>
      </x:c>
      <x:c r="B193" t="n">
        <x:v>31</x:v>
      </x:c>
      <x:c r="C193" t="n">
        <x:v>31</x:v>
      </x:c>
      <x:c r="D193" s="79" t="n">
        <x:v>1</x:v>
      </x:c>
      <x:c r="E193" s="82" t="n">
        <x:v>72</x:v>
      </x:c>
      <x:c r="F193" t="str">
        <x:v>ACEPTADO</x:v>
      </x:c>
    </x:row>
    <x:row r="194">
      <x:c r="A194" t="str">
        <x:v>2000-09</x:v>
      </x:c>
      <x:c r="B194" t="n">
        <x:v>30</x:v>
      </x:c>
      <x:c r="C194" t="n">
        <x:v>30</x:v>
      </x:c>
      <x:c r="D194" s="79" t="n">
        <x:v>1</x:v>
      </x:c>
      <x:c r="E194" s="82" t="n">
        <x:v>220</x:v>
      </x:c>
      <x:c r="F194" t="str">
        <x:v>ACEPTADO</x:v>
      </x:c>
    </x:row>
    <x:row r="195">
      <x:c r="A195" t="str">
        <x:v>2000-10</x:v>
      </x:c>
      <x:c r="B195" t="n">
        <x:v>31</x:v>
      </x:c>
      <x:c r="C195" t="n">
        <x:v>31</x:v>
      </x:c>
      <x:c r="D195" s="79" t="n">
        <x:v>1</x:v>
      </x:c>
      <x:c r="E195" s="82" t="n">
        <x:v>195</x:v>
      </x:c>
      <x:c r="F195" t="str">
        <x:v>ACEPTADO</x:v>
      </x:c>
    </x:row>
    <x:row r="196">
      <x:c r="A196" t="str">
        <x:v>2000-11</x:v>
      </x:c>
      <x:c r="B196" t="n">
        <x:v>30</x:v>
      </x:c>
      <x:c r="C196" t="n">
        <x:v>30</x:v>
      </x:c>
      <x:c r="D196" s="79" t="n">
        <x:v>1</x:v>
      </x:c>
      <x:c r="E196" s="82" t="n">
        <x:v>84</x:v>
      </x:c>
      <x:c r="F196" t="str">
        <x:v>ACEPTADO</x:v>
      </x:c>
    </x:row>
    <x:row r="197">
      <x:c r="A197" t="str">
        <x:v>2000-12</x:v>
      </x:c>
      <x:c r="B197" t="n">
        <x:v>31</x:v>
      </x:c>
      <x:c r="C197" t="n">
        <x:v>31</x:v>
      </x:c>
      <x:c r="D197" s="79" t="n">
        <x:v>1</x:v>
      </x:c>
      <x:c r="E197" s="82" t="n">
        <x:v>340</x:v>
      </x:c>
      <x:c r="F197" t="str">
        <x:v>ACEPTADO</x:v>
      </x:c>
    </x:row>
    <x:row r="198">
      <x:c r="A198" t="str">
        <x:v>2001-01</x:v>
      </x:c>
      <x:c r="B198" t="n">
        <x:v>31</x:v>
      </x:c>
      <x:c r="C198" t="n">
        <x:v>31</x:v>
      </x:c>
      <x:c r="D198" s="79" t="n">
        <x:v>1</x:v>
      </x:c>
      <x:c r="E198" s="82" t="n">
        <x:v>140</x:v>
      </x:c>
      <x:c r="F198" t="str">
        <x:v>ACEPTADO</x:v>
      </x:c>
    </x:row>
    <x:row r="199">
      <x:c r="A199" t="str">
        <x:v>2001-02</x:v>
      </x:c>
      <x:c r="B199" t="n">
        <x:v>28</x:v>
      </x:c>
      <x:c r="C199" t="n">
        <x:v>28</x:v>
      </x:c>
      <x:c r="D199" s="79" t="n">
        <x:v>1</x:v>
      </x:c>
      <x:c r="E199" s="82" t="n">
        <x:v>20</x:v>
      </x:c>
      <x:c r="F199" t="str">
        <x:v>ACEPTADO</x:v>
      </x:c>
    </x:row>
    <x:row r="200">
      <x:c r="A200" t="str">
        <x:v>2001-03</x:v>
      </x:c>
      <x:c r="B200" t="n">
        <x:v>31</x:v>
      </x:c>
      <x:c r="C200" t="n">
        <x:v>31</x:v>
      </x:c>
      <x:c r="D200" s="79" t="n">
        <x:v>1</x:v>
      </x:c>
      <x:c r="E200" s="82" t="n">
        <x:v>108</x:v>
      </x:c>
      <x:c r="F200" t="str">
        <x:v>ACEPTADO</x:v>
      </x:c>
    </x:row>
    <x:row r="201">
      <x:c r="A201" t="str">
        <x:v>2001-04</x:v>
      </x:c>
      <x:c r="B201" t="n">
        <x:v>30</x:v>
      </x:c>
      <x:c r="C201" t="n">
        <x:v>30</x:v>
      </x:c>
      <x:c r="D201" s="79" t="n">
        <x:v>1</x:v>
      </x:c>
      <x:c r="E201" s="82" t="n">
        <x:v>511</x:v>
      </x:c>
      <x:c r="F201" t="str">
        <x:v>ACEPTADO</x:v>
      </x:c>
    </x:row>
    <x:row r="202">
      <x:c r="A202" t="str">
        <x:v>2001-05</x:v>
      </x:c>
      <x:c r="B202" t="n">
        <x:v>31</x:v>
      </x:c>
      <x:c r="C202" t="n">
        <x:v>31</x:v>
      </x:c>
      <x:c r="D202" s="79" t="n">
        <x:v>1</x:v>
      </x:c>
      <x:c r="E202" s="82" t="n">
        <x:v>1293</x:v>
      </x:c>
      <x:c r="F202" t="str">
        <x:v>ACEPTADO</x:v>
      </x:c>
    </x:row>
    <x:row r="203">
      <x:c r="A203" t="str">
        <x:v>2001-06</x:v>
      </x:c>
      <x:c r="B203" t="n">
        <x:v>30</x:v>
      </x:c>
      <x:c r="C203" t="n">
        <x:v>30</x:v>
      </x:c>
      <x:c r="D203" s="79" t="n">
        <x:v>1</x:v>
      </x:c>
      <x:c r="E203" s="82" t="n">
        <x:v>294</x:v>
      </x:c>
      <x:c r="F203" t="str">
        <x:v>ACEPTADO</x:v>
      </x:c>
    </x:row>
    <x:row r="204">
      <x:c r="A204" t="str">
        <x:v>2001-07</x:v>
      </x:c>
      <x:c r="B204" t="n">
        <x:v>31</x:v>
      </x:c>
      <x:c r="C204" t="n">
        <x:v>31</x:v>
      </x:c>
      <x:c r="D204" s="79" t="n">
        <x:v>1</x:v>
      </x:c>
      <x:c r="E204" s="82" t="n">
        <x:v>215</x:v>
      </x:c>
      <x:c r="F204" t="str">
        <x:v>ACEPTADO</x:v>
      </x:c>
    </x:row>
    <x:row r="205">
      <x:c r="A205" t="str">
        <x:v>2001-08</x:v>
      </x:c>
      <x:c r="B205" t="n">
        <x:v>31</x:v>
      </x:c>
      <x:c r="C205" t="n">
        <x:v>31</x:v>
      </x:c>
      <x:c r="D205" s="79" t="n">
        <x:v>1</x:v>
      </x:c>
      <x:c r="E205" s="82" t="n">
        <x:v>7</x:v>
      </x:c>
      <x:c r="F205" t="str">
        <x:v>ACEPTADO</x:v>
      </x:c>
    </x:row>
    <x:row r="206">
      <x:c r="A206" t="str">
        <x:v>2001-09</x:v>
      </x:c>
      <x:c r="B206" t="n">
        <x:v>30</x:v>
      </x:c>
      <x:c r="C206" t="n">
        <x:v>30</x:v>
      </x:c>
      <x:c r="D206" s="79" t="n">
        <x:v>1</x:v>
      </x:c>
      <x:c r="E206" s="82" t="n">
        <x:v>110</x:v>
      </x:c>
      <x:c r="F206" t="str">
        <x:v>ACEPTADO</x:v>
      </x:c>
    </x:row>
    <x:row r="207">
      <x:c r="A207" t="str">
        <x:v>2001-10</x:v>
      </x:c>
      <x:c r="B207" t="n">
        <x:v>31</x:v>
      </x:c>
      <x:c r="C207" t="n">
        <x:v>31</x:v>
      </x:c>
      <x:c r="D207" s="79" t="n">
        <x:v>1</x:v>
      </x:c>
      <x:c r="E207" s="82" t="n">
        <x:v>39</x:v>
      </x:c>
      <x:c r="F207" t="str">
        <x:v>ACEPTADO</x:v>
      </x:c>
    </x:row>
    <x:row r="208">
      <x:c r="A208" t="str">
        <x:v>2001-11</x:v>
      </x:c>
      <x:c r="B208" t="n">
        <x:v>30</x:v>
      </x:c>
      <x:c r="C208" t="n">
        <x:v>30</x:v>
      </x:c>
      <x:c r="D208" s="79" t="n">
        <x:v>1</x:v>
      </x:c>
      <x:c r="E208" s="82" t="n">
        <x:v>81</x:v>
      </x:c>
      <x:c r="F208" t="str">
        <x:v>ACEPTADO</x:v>
      </x:c>
    </x:row>
    <x:row r="209">
      <x:c r="A209" t="str">
        <x:v>2001-12</x:v>
      </x:c>
      <x:c r="B209" t="n">
        <x:v>31</x:v>
      </x:c>
      <x:c r="C209" t="n">
        <x:v>31</x:v>
      </x:c>
      <x:c r="D209" s="79" t="n">
        <x:v>1</x:v>
      </x:c>
      <x:c r="E209" s="82" t="n">
        <x:v>361</x:v>
      </x:c>
      <x:c r="F209" t="str">
        <x:v>ACEPTADO</x:v>
      </x:c>
    </x:row>
    <x:row r="210">
      <x:c r="A210" t="str">
        <x:v>2002-01</x:v>
      </x:c>
      <x:c r="B210" t="n">
        <x:v>31</x:v>
      </x:c>
      <x:c r="C210" t="n">
        <x:v>31</x:v>
      </x:c>
      <x:c r="D210" s="79" t="n">
        <x:v>1</x:v>
      </x:c>
      <x:c r="E210" s="82" t="n">
        <x:v>259</x:v>
      </x:c>
      <x:c r="F210" t="str">
        <x:v>ACEPTADO</x:v>
      </x:c>
    </x:row>
    <x:row r="211">
      <x:c r="A211" t="str">
        <x:v>2002-02</x:v>
      </x:c>
      <x:c r="B211" t="n">
        <x:v>28</x:v>
      </x:c>
      <x:c r="C211" t="n">
        <x:v>28</x:v>
      </x:c>
      <x:c r="D211" s="79" t="n">
        <x:v>1</x:v>
      </x:c>
      <x:c r="E211" s="82" t="n">
        <x:v>692</x:v>
      </x:c>
      <x:c r="F211" t="str">
        <x:v>ACEPTADO</x:v>
      </x:c>
    </x:row>
    <x:row r="212">
      <x:c r="A212" t="str">
        <x:v>2002-03</x:v>
      </x:c>
      <x:c r="B212" t="n">
        <x:v>31</x:v>
      </x:c>
      <x:c r="C212" t="n">
        <x:v>31</x:v>
      </x:c>
      <x:c r="D212" s="79" t="n">
        <x:v>1</x:v>
      </x:c>
      <x:c r="E212" s="82" t="n">
        <x:v>346</x:v>
      </x:c>
      <x:c r="F212" t="str">
        <x:v>ACEPTADO</x:v>
      </x:c>
    </x:row>
    <x:row r="213">
      <x:c r="A213" t="str">
        <x:v>2002-04</x:v>
      </x:c>
      <x:c r="B213" t="n">
        <x:v>30</x:v>
      </x:c>
      <x:c r="C213" t="n">
        <x:v>30</x:v>
      </x:c>
      <x:c r="D213" s="79" t="n">
        <x:v>1</x:v>
      </x:c>
      <x:c r="E213" s="82" t="n">
        <x:v>348.1</x:v>
      </x:c>
      <x:c r="F213" t="str">
        <x:v>ACEPTADO</x:v>
      </x:c>
    </x:row>
    <x:row r="214">
      <x:c r="A214" t="str">
        <x:v>2002-05</x:v>
      </x:c>
      <x:c r="B214" t="n">
        <x:v>31</x:v>
      </x:c>
      <x:c r="C214" t="n">
        <x:v>31</x:v>
      </x:c>
      <x:c r="D214" s="79" t="n">
        <x:v>1</x:v>
      </x:c>
      <x:c r="E214" s="82" t="n">
        <x:v>415</x:v>
      </x:c>
      <x:c r="F214" t="str">
        <x:v>ACEPTADO</x:v>
      </x:c>
    </x:row>
    <x:row r="215">
      <x:c r="A215" t="str">
        <x:v>2002-06</x:v>
      </x:c>
      <x:c r="B215" t="n">
        <x:v>30</x:v>
      </x:c>
      <x:c r="C215" t="n">
        <x:v>30</x:v>
      </x:c>
      <x:c r="D215" s="79" t="n">
        <x:v>1</x:v>
      </x:c>
      <x:c r="E215" s="82" t="n">
        <x:v>474</x:v>
      </x:c>
      <x:c r="F215" t="str">
        <x:v>ACEPTADO</x:v>
      </x:c>
    </x:row>
    <x:row r="216">
      <x:c r="A216" t="str">
        <x:v>2002-07</x:v>
      </x:c>
      <x:c r="B216" t="n">
        <x:v>31</x:v>
      </x:c>
      <x:c r="C216" t="n">
        <x:v>31</x:v>
      </x:c>
      <x:c r="D216" s="79" t="n">
        <x:v>1</x:v>
      </x:c>
      <x:c r="E216" s="82" t="n">
        <x:v>322</x:v>
      </x:c>
      <x:c r="F216" t="str">
        <x:v>ACEPTADO</x:v>
      </x:c>
    </x:row>
    <x:row r="217">
      <x:c r="A217" t="str">
        <x:v>2002-08</x:v>
      </x:c>
      <x:c r="B217" t="n">
        <x:v>31</x:v>
      </x:c>
      <x:c r="C217" t="n">
        <x:v>31</x:v>
      </x:c>
      <x:c r="D217" s="79" t="n">
        <x:v>1</x:v>
      </x:c>
      <x:c r="E217" s="82" t="n">
        <x:v>8</x:v>
      </x:c>
      <x:c r="F217" t="str">
        <x:v>ACEPTADO</x:v>
      </x:c>
    </x:row>
    <x:row r="218">
      <x:c r="A218" t="str">
        <x:v>2002-09</x:v>
      </x:c>
      <x:c r="B218" t="n">
        <x:v>30</x:v>
      </x:c>
      <x:c r="C218" t="n">
        <x:v>30</x:v>
      </x:c>
      <x:c r="D218" s="79" t="n">
        <x:v>1</x:v>
      </x:c>
      <x:c r="E218" s="82" t="n">
        <x:v>100</x:v>
      </x:c>
      <x:c r="F218" t="str">
        <x:v>ACEPTADO</x:v>
      </x:c>
    </x:row>
    <x:row r="219">
      <x:c r="A219" t="str">
        <x:v>2002-10</x:v>
      </x:c>
      <x:c r="B219" t="n">
        <x:v>31</x:v>
      </x:c>
      <x:c r="C219" t="n">
        <x:v>31</x:v>
      </x:c>
      <x:c r="D219" s="79" t="n">
        <x:v>1</x:v>
      </x:c>
      <x:c r="E219" s="82" t="n">
        <x:v>233</x:v>
      </x:c>
      <x:c r="F219" t="str">
        <x:v>ACEPTADO</x:v>
      </x:c>
    </x:row>
    <x:row r="220">
      <x:c r="A220" t="str">
        <x:v>2002-11</x:v>
      </x:c>
      <x:c r="B220" t="n">
        <x:v>30</x:v>
      </x:c>
      <x:c r="C220" t="n">
        <x:v>30</x:v>
      </x:c>
      <x:c r="D220" s="79" t="n">
        <x:v>1</x:v>
      </x:c>
      <x:c r="E220" s="82" t="n">
        <x:v>78</x:v>
      </x:c>
      <x:c r="F220" t="str">
        <x:v>ACEPTADO</x:v>
      </x:c>
    </x:row>
    <x:row r="221">
      <x:c r="A221" t="str">
        <x:v>2002-12</x:v>
      </x:c>
      <x:c r="B221" t="n">
        <x:v>31</x:v>
      </x:c>
      <x:c r="C221" t="n">
        <x:v>31</x:v>
      </x:c>
      <x:c r="D221" s="79" t="n">
        <x:v>1</x:v>
      </x:c>
      <x:c r="E221" s="82" t="n">
        <x:v>689</x:v>
      </x:c>
      <x:c r="F221" t="str">
        <x:v>ACEPTADO</x:v>
      </x:c>
    </x:row>
    <x:row r="222">
      <x:c r="A222" t="str">
        <x:v>2003-01</x:v>
      </x:c>
      <x:c r="B222" t="n">
        <x:v>31</x:v>
      </x:c>
      <x:c r="C222" t="n">
        <x:v>31</x:v>
      </x:c>
      <x:c r="D222" s="79" t="n">
        <x:v>1</x:v>
      </x:c>
      <x:c r="E222" s="82" t="n">
        <x:v>306</x:v>
      </x:c>
      <x:c r="F222" t="str">
        <x:v>ACEPTADO</x:v>
      </x:c>
    </x:row>
    <x:row r="223">
      <x:c r="A223" t="str">
        <x:v>2003-02</x:v>
      </x:c>
      <x:c r="B223" t="n">
        <x:v>28</x:v>
      </x:c>
      <x:c r="C223" t="n">
        <x:v>28</x:v>
      </x:c>
      <x:c r="D223" s="79" t="n">
        <x:v>1</x:v>
      </x:c>
      <x:c r="E223" s="82" t="n">
        <x:v>250</x:v>
      </x:c>
      <x:c r="F223" t="str">
        <x:v>ACEPTADO</x:v>
      </x:c>
    </x:row>
    <x:row r="224">
      <x:c r="A224" t="str">
        <x:v>2003-03</x:v>
      </x:c>
      <x:c r="B224" t="n">
        <x:v>31</x:v>
      </x:c>
      <x:c r="C224" t="n">
        <x:v>31</x:v>
      </x:c>
      <x:c r="D224" s="79" t="n">
        <x:v>1</x:v>
      </x:c>
      <x:c r="E224" s="82" t="n">
        <x:v>292</x:v>
      </x:c>
      <x:c r="F224" t="str">
        <x:v>ACEPTADO</x:v>
      </x:c>
    </x:row>
    <x:row r="225">
      <x:c r="A225" t="str">
        <x:v>2003-04</x:v>
      </x:c>
      <x:c r="B225" t="n">
        <x:v>30</x:v>
      </x:c>
      <x:c r="C225" t="n">
        <x:v>30</x:v>
      </x:c>
      <x:c r="D225" s="79" t="n">
        <x:v>1</x:v>
      </x:c>
      <x:c r="E225" s="82" t="n">
        <x:v>679</x:v>
      </x:c>
      <x:c r="F225" t="str">
        <x:v>ACEPTADO</x:v>
      </x:c>
    </x:row>
    <x:row r="226">
      <x:c r="A226" t="str">
        <x:v>2003-05</x:v>
      </x:c>
      <x:c r="B226" t="n">
        <x:v>31</x:v>
      </x:c>
      <x:c r="C226" t="n">
        <x:v>31</x:v>
      </x:c>
      <x:c r="D226" s="79" t="n">
        <x:v>1</x:v>
      </x:c>
      <x:c r="E226" s="82" t="n">
        <x:v>759</x:v>
      </x:c>
      <x:c r="F226" t="str">
        <x:v>ACEPTADO</x:v>
      </x:c>
    </x:row>
    <x:row r="227">
      <x:c r="A227" t="str">
        <x:v>2003-06</x:v>
      </x:c>
      <x:c r="B227" t="n">
        <x:v>30</x:v>
      </x:c>
      <x:c r="C227" t="n">
        <x:v>30</x:v>
      </x:c>
      <x:c r="D227" s="79" t="n">
        <x:v>1</x:v>
      </x:c>
      <x:c r="E227" s="82" t="n">
        <x:v>231</x:v>
      </x:c>
      <x:c r="F227" t="str">
        <x:v>ACEPTADO</x:v>
      </x:c>
    </x:row>
    <x:row r="228">
      <x:c r="A228" t="str">
        <x:v>2003-07</x:v>
      </x:c>
      <x:c r="B228" t="n">
        <x:v>31</x:v>
      </x:c>
      <x:c r="C228" t="n">
        <x:v>31</x:v>
      </x:c>
      <x:c r="D228" s="79" t="n">
        <x:v>1</x:v>
      </x:c>
      <x:c r="E228" s="82" t="n">
        <x:v>109</x:v>
      </x:c>
      <x:c r="F228" t="str">
        <x:v>ACEPTADO</x:v>
      </x:c>
    </x:row>
    <x:row r="229">
      <x:c r="A229" t="str">
        <x:v>2003-08</x:v>
      </x:c>
      <x:c r="B229" t="n">
        <x:v>31</x:v>
      </x:c>
      <x:c r="C229" t="n">
        <x:v>31</x:v>
      </x:c>
      <x:c r="D229" s="79" t="n">
        <x:v>1</x:v>
      </x:c>
      <x:c r="E229" s="82" t="n">
        <x:v>506</x:v>
      </x:c>
      <x:c r="F229" t="str">
        <x:v>ACEPTADO</x:v>
      </x:c>
    </x:row>
    <x:row r="230">
      <x:c r="A230" t="str">
        <x:v>2003-09</x:v>
      </x:c>
      <x:c r="B230" t="n">
        <x:v>30</x:v>
      </x:c>
      <x:c r="C230" t="n">
        <x:v>30</x:v>
      </x:c>
      <x:c r="D230" s="79" t="n">
        <x:v>1</x:v>
      </x:c>
      <x:c r="E230" s="82" t="n">
        <x:v>562</x:v>
      </x:c>
      <x:c r="F230" t="str">
        <x:v>ACEPTADO</x:v>
      </x:c>
    </x:row>
    <x:row r="231">
      <x:c r="A231" t="str">
        <x:v>2003-10</x:v>
      </x:c>
      <x:c r="B231" t="n">
        <x:v>31</x:v>
      </x:c>
      <x:c r="C231" t="n">
        <x:v>31</x:v>
      </x:c>
      <x:c r="D231" s="79" t="n">
        <x:v>1</x:v>
      </x:c>
      <x:c r="E231" s="82" t="n">
        <x:v>554</x:v>
      </x:c>
      <x:c r="F231" t="str">
        <x:v>ACEPTADO</x:v>
      </x:c>
    </x:row>
    <x:row r="232">
      <x:c r="A232" t="str">
        <x:v>2003-11</x:v>
      </x:c>
      <x:c r="B232" t="n">
        <x:v>30</x:v>
      </x:c>
      <x:c r="C232" t="n">
        <x:v>30</x:v>
      </x:c>
      <x:c r="D232" s="79" t="n">
        <x:v>1</x:v>
      </x:c>
      <x:c r="E232" s="82" t="n">
        <x:v>237</x:v>
      </x:c>
      <x:c r="F232" t="str">
        <x:v>ACEPTADO</x:v>
      </x:c>
    </x:row>
    <x:row r="233">
      <x:c r="A233" t="str">
        <x:v>2003-12</x:v>
      </x:c>
      <x:c r="B233" t="n">
        <x:v>31</x:v>
      </x:c>
      <x:c r="C233" t="n">
        <x:v>31</x:v>
      </x:c>
      <x:c r="D233" s="79" t="n">
        <x:v>1</x:v>
      </x:c>
      <x:c r="E233" s="82" t="n">
        <x:v>305</x:v>
      </x:c>
      <x:c r="F233" t="str">
        <x:v>ACEPTADO</x:v>
      </x:c>
    </x:row>
    <x:row r="234">
      <x:c r="A234" t="str">
        <x:v>2004-01</x:v>
      </x:c>
      <x:c r="B234" t="n">
        <x:v>31</x:v>
      </x:c>
      <x:c r="C234" t="n">
        <x:v>31</x:v>
      </x:c>
      <x:c r="D234" s="79" t="n">
        <x:v>1</x:v>
      </x:c>
      <x:c r="E234" s="82" t="n">
        <x:v>623</x:v>
      </x:c>
      <x:c r="F234" t="str">
        <x:v>ACEPTADO</x:v>
      </x:c>
    </x:row>
    <x:row r="235">
      <x:c r="A235" t="str">
        <x:v>2004-02</x:v>
      </x:c>
      <x:c r="B235" t="n">
        <x:v>29</x:v>
      </x:c>
      <x:c r="C235" t="n">
        <x:v>29</x:v>
      </x:c>
      <x:c r="D235" s="79" t="n">
        <x:v>1</x:v>
      </x:c>
      <x:c r="E235" s="82" t="n">
        <x:v>292</x:v>
      </x:c>
      <x:c r="F235" t="str">
        <x:v>ACEPTADO</x:v>
      </x:c>
    </x:row>
    <x:row r="236">
      <x:c r="A236" t="str">
        <x:v>2004-03</x:v>
      </x:c>
      <x:c r="B236" t="n">
        <x:v>31</x:v>
      </x:c>
      <x:c r="C236" t="n">
        <x:v>31</x:v>
      </x:c>
      <x:c r="D236" s="79" t="n">
        <x:v>1</x:v>
      </x:c>
      <x:c r="E236" s="82" t="n">
        <x:v>137</x:v>
      </x:c>
      <x:c r="F236" t="str">
        <x:v>ACEPTADO</x:v>
      </x:c>
    </x:row>
    <x:row r="237">
      <x:c r="A237" t="str">
        <x:v>2004-04</x:v>
      </x:c>
      <x:c r="B237" t="n">
        <x:v>30</x:v>
      </x:c>
      <x:c r="C237" t="n">
        <x:v>30</x:v>
      </x:c>
      <x:c r="D237" s="79" t="n">
        <x:v>1</x:v>
      </x:c>
      <x:c r="E237" s="82" t="n">
        <x:v>408</x:v>
      </x:c>
      <x:c r="F237" t="str">
        <x:v>ACEPTADO</x:v>
      </x:c>
    </x:row>
    <x:row r="238">
      <x:c r="A238" t="str">
        <x:v>2004-05</x:v>
      </x:c>
      <x:c r="B238" t="n">
        <x:v>31</x:v>
      </x:c>
      <x:c r="C238" t="n">
        <x:v>31</x:v>
      </x:c>
      <x:c r="D238" s="79" t="n">
        <x:v>1</x:v>
      </x:c>
      <x:c r="E238" s="82" t="n">
        <x:v>662</x:v>
      </x:c>
      <x:c r="F238" t="str">
        <x:v>ACEPTADO</x:v>
      </x:c>
    </x:row>
    <x:row r="239">
      <x:c r="A239" t="str">
        <x:v>2004-06</x:v>
      </x:c>
      <x:c r="B239" t="n">
        <x:v>30</x:v>
      </x:c>
      <x:c r="C239" t="n">
        <x:v>30</x:v>
      </x:c>
      <x:c r="D239" s="79" t="n">
        <x:v>1</x:v>
      </x:c>
      <x:c r="E239" s="82" t="n">
        <x:v>141</x:v>
      </x:c>
      <x:c r="F239" t="str">
        <x:v>ACEPTADO</x:v>
      </x:c>
    </x:row>
    <x:row r="240">
      <x:c r="A240" t="str">
        <x:v>2004-07</x:v>
      </x:c>
      <x:c r="B240" t="n">
        <x:v>31</x:v>
      </x:c>
      <x:c r="C240" t="n">
        <x:v>31</x:v>
      </x:c>
      <x:c r="D240" s="79" t="n">
        <x:v>1</x:v>
      </x:c>
      <x:c r="E240" s="82" t="n">
        <x:v>145</x:v>
      </x:c>
      <x:c r="F240" t="str">
        <x:v>ACEPTADO</x:v>
      </x:c>
    </x:row>
    <x:row r="241">
      <x:c r="A241" t="str">
        <x:v>2004-08</x:v>
      </x:c>
      <x:c r="B241" t="n">
        <x:v>31</x:v>
      </x:c>
      <x:c r="C241" t="n">
        <x:v>31</x:v>
      </x:c>
      <x:c r="D241" s="79" t="n">
        <x:v>1</x:v>
      </x:c>
      <x:c r="E241" s="82" t="n">
        <x:v>0</x:v>
      </x:c>
      <x:c r="F241" t="str">
        <x:v>ACEPTADO</x:v>
      </x:c>
    </x:row>
    <x:row r="242">
      <x:c r="A242" t="str">
        <x:v>2004-09</x:v>
      </x:c>
      <x:c r="B242" t="n">
        <x:v>30</x:v>
      </x:c>
      <x:c r="C242" t="n">
        <x:v>30</x:v>
      </x:c>
      <x:c r="D242" s="79" t="n">
        <x:v>1</x:v>
      </x:c>
      <x:c r="E242" s="82" t="n">
        <x:v>205</x:v>
      </x:c>
      <x:c r="F242" t="str">
        <x:v>ACEPTADO</x:v>
      </x:c>
    </x:row>
    <x:row r="243">
      <x:c r="A243" t="str">
        <x:v>2004-10</x:v>
      </x:c>
      <x:c r="B243" t="n">
        <x:v>31</x:v>
      </x:c>
      <x:c r="C243" t="n">
        <x:v>31</x:v>
      </x:c>
      <x:c r="D243" s="79" t="n">
        <x:v>1</x:v>
      </x:c>
      <x:c r="E243" s="82" t="n">
        <x:v>161</x:v>
      </x:c>
      <x:c r="F243" t="str">
        <x:v>ACEPTADO</x:v>
      </x:c>
    </x:row>
    <x:row r="244">
      <x:c r="A244" t="str">
        <x:v>2004-11</x:v>
      </x:c>
      <x:c r="B244" t="n">
        <x:v>30</x:v>
      </x:c>
      <x:c r="C244" t="n">
        <x:v>30</x:v>
      </x:c>
      <x:c r="D244" s="79" t="n">
        <x:v>1</x:v>
      </x:c>
      <x:c r="E244" s="82" t="n">
        <x:v>191</x:v>
      </x:c>
      <x:c r="F244" t="str">
        <x:v>ACEPTADO</x:v>
      </x:c>
    </x:row>
    <x:row r="245">
      <x:c r="A245" t="str">
        <x:v>2004-12</x:v>
      </x:c>
      <x:c r="B245" t="n">
        <x:v>31</x:v>
      </x:c>
      <x:c r="C245" t="n">
        <x:v>31</x:v>
      </x:c>
      <x:c r="D245" s="79" t="n">
        <x:v>1</x:v>
      </x:c>
      <x:c r="E245" s="82" t="n">
        <x:v>54</x:v>
      </x:c>
      <x:c r="F245" t="str">
        <x:v>ACEPTADO</x:v>
      </x:c>
    </x:row>
    <x:row r="246">
      <x:c r="A246" t="str">
        <x:v>2005-01</x:v>
      </x:c>
      <x:c r="B246" t="n">
        <x:v>31</x:v>
      </x:c>
      <x:c r="C246" t="n">
        <x:v>31</x:v>
      </x:c>
      <x:c r="D246" s="79" t="n">
        <x:v>1</x:v>
      </x:c>
      <x:c r="E246" s="82" t="n">
        <x:v>216</x:v>
      </x:c>
      <x:c r="F246" t="str">
        <x:v>ACEPTADO</x:v>
      </x:c>
    </x:row>
    <x:row r="247">
      <x:c r="A247" t="str">
        <x:v>2005-02</x:v>
      </x:c>
      <x:c r="B247" t="n">
        <x:v>28</x:v>
      </x:c>
      <x:c r="C247" t="n">
        <x:v>28</x:v>
      </x:c>
      <x:c r="D247" s="79" t="n">
        <x:v>1</x:v>
      </x:c>
      <x:c r="E247" s="82" t="n">
        <x:v>116</x:v>
      </x:c>
      <x:c r="F247" t="str">
        <x:v>ACEPTADO</x:v>
      </x:c>
    </x:row>
    <x:row r="248">
      <x:c r="A248" t="str">
        <x:v>2005-03</x:v>
      </x:c>
      <x:c r="B248" t="n">
        <x:v>31</x:v>
      </x:c>
      <x:c r="C248" t="n">
        <x:v>31</x:v>
      </x:c>
      <x:c r="D248" s="79" t="n">
        <x:v>1</x:v>
      </x:c>
      <x:c r="E248" s="82" t="n">
        <x:v>422</x:v>
      </x:c>
      <x:c r="F248" t="str">
        <x:v>ACEPTADO</x:v>
      </x:c>
    </x:row>
    <x:row r="249">
      <x:c r="A249" t="str">
        <x:v>2005-04</x:v>
      </x:c>
      <x:c r="B249" t="n">
        <x:v>30</x:v>
      </x:c>
      <x:c r="C249" t="n">
        <x:v>30</x:v>
      </x:c>
      <x:c r="D249" s="79" t="n">
        <x:v>1</x:v>
      </x:c>
      <x:c r="E249" s="82" t="n">
        <x:v>689</x:v>
      </x:c>
      <x:c r="F249" t="str">
        <x:v>ACEPTADO</x:v>
      </x:c>
    </x:row>
    <x:row r="250">
      <x:c r="A250" t="str">
        <x:v>2005-05</x:v>
      </x:c>
      <x:c r="B250" t="n">
        <x:v>31</x:v>
      </x:c>
      <x:c r="C250" t="n">
        <x:v>31</x:v>
      </x:c>
      <x:c r="D250" s="79" t="n">
        <x:v>1</x:v>
      </x:c>
      <x:c r="E250" s="82" t="n">
        <x:v>163</x:v>
      </x:c>
      <x:c r="F250" t="str">
        <x:v>ACEPTADO</x:v>
      </x:c>
    </x:row>
    <x:row r="251">
      <x:c r="A251" t="str">
        <x:v>2005-06</x:v>
      </x:c>
      <x:c r="B251" t="n">
        <x:v>30</x:v>
      </x:c>
      <x:c r="C251" t="n">
        <x:v>30</x:v>
      </x:c>
      <x:c r="D251" s="79" t="n">
        <x:v>1</x:v>
      </x:c>
      <x:c r="E251" s="82" t="n">
        <x:v>92</x:v>
      </x:c>
      <x:c r="F251" t="str">
        <x:v>ACEPTADO</x:v>
      </x:c>
    </x:row>
    <x:row r="252">
      <x:c r="A252" t="str">
        <x:v>2005-07</x:v>
      </x:c>
      <x:c r="B252" t="n">
        <x:v>31</x:v>
      </x:c>
      <x:c r="C252" t="n">
        <x:v>31</x:v>
      </x:c>
      <x:c r="D252" s="79" t="n">
        <x:v>1</x:v>
      </x:c>
      <x:c r="E252" s="82" t="n">
        <x:v>11</x:v>
      </x:c>
      <x:c r="F252" t="str">
        <x:v>ACEPTADO</x:v>
      </x:c>
    </x:row>
    <x:row r="253">
      <x:c r="A253" t="str">
        <x:v>2005-08</x:v>
      </x:c>
      <x:c r="B253" t="n">
        <x:v>31</x:v>
      </x:c>
      <x:c r="C253" t="n">
        <x:v>31</x:v>
      </x:c>
      <x:c r="D253" s="79" t="n">
        <x:v>1</x:v>
      </x:c>
      <x:c r="E253" s="82" t="n">
        <x:v>44</x:v>
      </x:c>
      <x:c r="F253" t="str">
        <x:v>ACEPTADO</x:v>
      </x:c>
    </x:row>
    <x:row r="254">
      <x:c r="A254" t="str">
        <x:v>2005-09</x:v>
      </x:c>
      <x:c r="B254" t="n">
        <x:v>30</x:v>
      </x:c>
      <x:c r="C254" t="n">
        <x:v>30</x:v>
      </x:c>
      <x:c r="D254" s="79" t="n">
        <x:v>1</x:v>
      </x:c>
      <x:c r="E254" s="82" t="n">
        <x:v>73</x:v>
      </x:c>
      <x:c r="F254" t="str">
        <x:v>ACEPTADO</x:v>
      </x:c>
    </x:row>
    <x:row r="255">
      <x:c r="A255" t="str">
        <x:v>2005-10</x:v>
      </x:c>
      <x:c r="B255" t="n">
        <x:v>31</x:v>
      </x:c>
      <x:c r="C255" t="n">
        <x:v>31</x:v>
      </x:c>
      <x:c r="D255" s="79" t="n">
        <x:v>1</x:v>
      </x:c>
      <x:c r="E255" s="82" t="n">
        <x:v>14</x:v>
      </x:c>
      <x:c r="F255" t="str">
        <x:v>ACEPTADO</x:v>
      </x:c>
    </x:row>
    <x:row r="256">
      <x:c r="A256" t="str">
        <x:v>2005-11</x:v>
      </x:c>
      <x:c r="B256" t="n">
        <x:v>30</x:v>
      </x:c>
      <x:c r="C256" t="n">
        <x:v>30</x:v>
      </x:c>
      <x:c r="D256" s="79" t="n">
        <x:v>1</x:v>
      </x:c>
      <x:c r="E256" s="82" t="n">
        <x:v>71</x:v>
      </x:c>
      <x:c r="F256" t="str">
        <x:v>ACEPTADO</x:v>
      </x:c>
    </x:row>
    <x:row r="257">
      <x:c r="A257" t="str">
        <x:v>2005-12</x:v>
      </x:c>
      <x:c r="B257" t="n">
        <x:v>31</x:v>
      </x:c>
      <x:c r="C257" t="n">
        <x:v>31</x:v>
      </x:c>
      <x:c r="D257" s="79" t="n">
        <x:v>1</x:v>
      </x:c>
      <x:c r="E257" s="82" t="n">
        <x:v>118</x:v>
      </x:c>
      <x:c r="F257" t="str">
        <x:v>ACEPTADO</x:v>
      </x:c>
    </x:row>
    <x:row r="258">
      <x:c r="A258" t="str">
        <x:v>2006-01</x:v>
      </x:c>
      <x:c r="B258" t="n">
        <x:v>31</x:v>
      </x:c>
      <x:c r="C258" t="n">
        <x:v>31</x:v>
      </x:c>
      <x:c r="D258" s="79" t="n">
        <x:v>1</x:v>
      </x:c>
      <x:c r="E258" s="82" t="n">
        <x:v>240</x:v>
      </x:c>
      <x:c r="F258" t="str">
        <x:v>ACEPTADO</x:v>
      </x:c>
    </x:row>
    <x:row r="259">
      <x:c r="A259" t="str">
        <x:v>2006-02</x:v>
      </x:c>
      <x:c r="B259" t="n">
        <x:v>28</x:v>
      </x:c>
      <x:c r="C259" t="n">
        <x:v>28</x:v>
      </x:c>
      <x:c r="D259" s="79" t="n">
        <x:v>1</x:v>
      </x:c>
      <x:c r="E259" s="82" t="n">
        <x:v>382</x:v>
      </x:c>
      <x:c r="F259" t="str">
        <x:v>ACEPTADO</x:v>
      </x:c>
    </x:row>
    <x:row r="260">
      <x:c r="A260" t="str">
        <x:v>2006-03</x:v>
      </x:c>
      <x:c r="B260" t="n">
        <x:v>31</x:v>
      </x:c>
      <x:c r="C260" t="n">
        <x:v>31</x:v>
      </x:c>
      <x:c r="D260" s="79" t="n">
        <x:v>1</x:v>
      </x:c>
      <x:c r="E260" s="82" t="n">
        <x:v>341</x:v>
      </x:c>
      <x:c r="F260" t="str">
        <x:v>ACEPTADO</x:v>
      </x:c>
    </x:row>
    <x:row r="261">
      <x:c r="A261" t="str">
        <x:v>2006-04</x:v>
      </x:c>
      <x:c r="B261" t="n">
        <x:v>30</x:v>
      </x:c>
      <x:c r="C261" t="n">
        <x:v>30</x:v>
      </x:c>
      <x:c r="D261" s="79" t="n">
        <x:v>1</x:v>
      </x:c>
      <x:c r="E261" s="82" t="n">
        <x:v>161</x:v>
      </x:c>
      <x:c r="F261" t="str">
        <x:v>ACEPTADO</x:v>
      </x:c>
    </x:row>
    <x:row r="262">
      <x:c r="A262" t="str">
        <x:v>2006-05</x:v>
      </x:c>
      <x:c r="B262" t="n">
        <x:v>29</x:v>
      </x:c>
      <x:c r="C262" t="n">
        <x:v>31</x:v>
      </x:c>
      <x:c r="D262" s="79" t="n">
        <x:v>0.93548</x:v>
      </x:c>
      <x:c r="E262" s="82" t="n">
        <x:v>165</x:v>
      </x:c>
      <x:c r="F262" t="str">
        <x:v>ACEPTADO</x:v>
      </x:c>
    </x:row>
    <x:row r="263">
      <x:c r="A263" t="str">
        <x:v>2006-06</x:v>
      </x:c>
      <x:c r="B263" t="n">
        <x:v>29</x:v>
      </x:c>
      <x:c r="C263" t="n">
        <x:v>30</x:v>
      </x:c>
      <x:c r="D263" s="79" t="n">
        <x:v>0.96667</x:v>
      </x:c>
      <x:c r="E263" s="82" t="n">
        <x:v>346</x:v>
      </x:c>
      <x:c r="F263" t="str">
        <x:v>ACEPTADO</x:v>
      </x:c>
    </x:row>
    <x:row r="264">
      <x:c r="A264" t="str">
        <x:v>2006-07</x:v>
      </x:c>
      <x:c r="B264" t="n">
        <x:v>31</x:v>
      </x:c>
      <x:c r="C264" t="n">
        <x:v>31</x:v>
      </x:c>
      <x:c r="D264" s="79" t="n">
        <x:v>1</x:v>
      </x:c>
      <x:c r="E264" s="82" t="n">
        <x:v>43</x:v>
      </x:c>
      <x:c r="F264" t="str">
        <x:v>ACEPTADO</x:v>
      </x:c>
    </x:row>
    <x:row r="265">
      <x:c r="A265" t="str">
        <x:v>2006-08</x:v>
      </x:c>
      <x:c r="B265" t="n">
        <x:v>30</x:v>
      </x:c>
      <x:c r="C265" t="n">
        <x:v>31</x:v>
      </x:c>
      <x:c r="D265" s="79" t="n">
        <x:v>0.96774</x:v>
      </x:c>
      <x:c r="E265" s="82" t="n">
        <x:v>156</x:v>
      </x:c>
      <x:c r="F265" t="str">
        <x:v>ACEPTADO</x:v>
      </x:c>
    </x:row>
    <x:row r="266">
      <x:c r="A266" t="str">
        <x:v>2006-09</x:v>
      </x:c>
      <x:c r="B266" t="n">
        <x:v>30</x:v>
      </x:c>
      <x:c r="C266" t="n">
        <x:v>30</x:v>
      </x:c>
      <x:c r="D266" s="79" t="n">
        <x:v>1</x:v>
      </x:c>
      <x:c r="E266" s="82" t="n">
        <x:v>185</x:v>
      </x:c>
      <x:c r="F266" t="str">
        <x:v>ACEPTADO</x:v>
      </x:c>
    </x:row>
    <x:row r="267">
      <x:c r="A267" t="str">
        <x:v>2006-10</x:v>
      </x:c>
      <x:c r="B267" t="n">
        <x:v>29</x:v>
      </x:c>
      <x:c r="C267" t="n">
        <x:v>31</x:v>
      </x:c>
      <x:c r="D267" s="79" t="n">
        <x:v>0.93548</x:v>
      </x:c>
      <x:c r="E267" s="82" t="n">
        <x:v>170</x:v>
      </x:c>
      <x:c r="F267" t="str">
        <x:v>ACEPTADO</x:v>
      </x:c>
    </x:row>
    <x:row r="268">
      <x:c r="A268" t="str">
        <x:v>2006-11</x:v>
      </x:c>
      <x:c r="B268" t="n">
        <x:v>30</x:v>
      </x:c>
      <x:c r="C268" t="n">
        <x:v>30</x:v>
      </x:c>
      <x:c r="D268" s="79" t="n">
        <x:v>1</x:v>
      </x:c>
      <x:c r="E268" s="82" t="n">
        <x:v>418</x:v>
      </x:c>
      <x:c r="F268" t="str">
        <x:v>ACEPTADO</x:v>
      </x:c>
    </x:row>
    <x:row r="269">
      <x:c r="A269" t="str">
        <x:v>2006-12</x:v>
      </x:c>
      <x:c r="B269" t="n">
        <x:v>31</x:v>
      </x:c>
      <x:c r="C269" t="n">
        <x:v>31</x:v>
      </x:c>
      <x:c r="D269" s="79" t="n">
        <x:v>1</x:v>
      </x:c>
      <x:c r="E269" s="82" t="n">
        <x:v>46</x:v>
      </x:c>
      <x:c r="F269" t="str">
        <x:v>ACEPTADO</x:v>
      </x:c>
    </x:row>
    <x:row r="270">
      <x:c r="A270" t="str">
        <x:v>2007-01</x:v>
      </x:c>
      <x:c r="B270" t="n">
        <x:v>31</x:v>
      </x:c>
      <x:c r="C270" t="n">
        <x:v>31</x:v>
      </x:c>
      <x:c r="D270" s="79" t="n">
        <x:v>1</x:v>
      </x:c>
      <x:c r="E270" s="82" t="n">
        <x:v>224</x:v>
      </x:c>
      <x:c r="F270" t="str">
        <x:v>ACEPTADO</x:v>
      </x:c>
    </x:row>
    <x:row r="271">
      <x:c r="A271" t="str">
        <x:v>2007-02</x:v>
      </x:c>
      <x:c r="B271" t="n">
        <x:v>28</x:v>
      </x:c>
      <x:c r="C271" t="n">
        <x:v>28</x:v>
      </x:c>
      <x:c r="D271" s="79" t="n">
        <x:v>1</x:v>
      </x:c>
      <x:c r="E271" s="82" t="n">
        <x:v>262</x:v>
      </x:c>
      <x:c r="F271" t="str">
        <x:v>ACEPTADO</x:v>
      </x:c>
    </x:row>
    <x:row r="272">
      <x:c r="A272" t="str">
        <x:v>2007-03</x:v>
      </x:c>
      <x:c r="B272" t="n">
        <x:v>30</x:v>
      </x:c>
      <x:c r="C272" t="n">
        <x:v>31</x:v>
      </x:c>
      <x:c r="D272" s="79" t="n">
        <x:v>0.96774</x:v>
      </x:c>
      <x:c r="E272" s="82" t="n">
        <x:v>248</x:v>
      </x:c>
      <x:c r="F272" t="str">
        <x:v>ACEPTADO</x:v>
      </x:c>
    </x:row>
    <x:row r="273">
      <x:c r="A273" t="str">
        <x:v>2007-04</x:v>
      </x:c>
      <x:c r="B273" t="n">
        <x:v>30</x:v>
      </x:c>
      <x:c r="C273" t="n">
        <x:v>30</x:v>
      </x:c>
      <x:c r="D273" s="79" t="n">
        <x:v>1</x:v>
      </x:c>
      <x:c r="E273" s="82" t="n">
        <x:v>607</x:v>
      </x:c>
      <x:c r="F273" t="str">
        <x:v>ACEPTADO</x:v>
      </x:c>
    </x:row>
    <x:row r="274">
      <x:c r="A274" t="str">
        <x:v>2007-05</x:v>
      </x:c>
      <x:c r="B274" t="n">
        <x:v>31</x:v>
      </x:c>
      <x:c r="C274" t="n">
        <x:v>31</x:v>
      </x:c>
      <x:c r="D274" s="79" t="n">
        <x:v>1</x:v>
      </x:c>
      <x:c r="E274" s="82" t="n">
        <x:v>773</x:v>
      </x:c>
      <x:c r="F274" t="str">
        <x:v>ACEPTADO</x:v>
      </x:c>
    </x:row>
    <x:row r="275">
      <x:c r="A275" t="str">
        <x:v>2007-06</x:v>
      </x:c>
      <x:c r="B275" t="n">
        <x:v>30</x:v>
      </x:c>
      <x:c r="C275" t="n">
        <x:v>30</x:v>
      </x:c>
      <x:c r="D275" s="79" t="n">
        <x:v>1</x:v>
      </x:c>
      <x:c r="E275" s="82" t="n">
        <x:v>480</x:v>
      </x:c>
      <x:c r="F275" t="str">
        <x:v>ACEPTADO</x:v>
      </x:c>
    </x:row>
    <x:row r="276">
      <x:c r="A276" t="str">
        <x:v>2007-07</x:v>
      </x:c>
      <x:c r="B276" t="n">
        <x:v>31</x:v>
      </x:c>
      <x:c r="C276" t="n">
        <x:v>31</x:v>
      </x:c>
      <x:c r="D276" s="79" t="n">
        <x:v>1</x:v>
      </x:c>
      <x:c r="E276" s="82" t="n">
        <x:v>151</x:v>
      </x:c>
      <x:c r="F276" t="str">
        <x:v>ACEPTADO</x:v>
      </x:c>
    </x:row>
    <x:row r="277">
      <x:c r="A277" t="str">
        <x:v>2007-08</x:v>
      </x:c>
      <x:c r="B277" t="n">
        <x:v>31</x:v>
      </x:c>
      <x:c r="C277" t="n">
        <x:v>31</x:v>
      </x:c>
      <x:c r="D277" s="79" t="n">
        <x:v>1</x:v>
      </x:c>
      <x:c r="E277" s="82" t="n">
        <x:v>140</x:v>
      </x:c>
      <x:c r="F277" t="str">
        <x:v>ACEPTADO</x:v>
      </x:c>
    </x:row>
    <x:row r="278">
      <x:c r="A278" t="str">
        <x:v>2007-09</x:v>
      </x:c>
      <x:c r="B278" t="n">
        <x:v>30</x:v>
      </x:c>
      <x:c r="C278" t="n">
        <x:v>30</x:v>
      </x:c>
      <x:c r="D278" s="79" t="n">
        <x:v>1</x:v>
      </x:c>
      <x:c r="E278" s="82" t="n">
        <x:v>95</x:v>
      </x:c>
      <x:c r="F278" t="str">
        <x:v>ACEPTADO</x:v>
      </x:c>
    </x:row>
    <x:row r="279">
      <x:c r="A279" t="str">
        <x:v>2007-10</x:v>
      </x:c>
      <x:c r="B279" t="n">
        <x:v>31</x:v>
      </x:c>
      <x:c r="C279" t="n">
        <x:v>31</x:v>
      </x:c>
      <x:c r="D279" s="79" t="n">
        <x:v>1</x:v>
      </x:c>
      <x:c r="E279" s="82" t="n">
        <x:v>65</x:v>
      </x:c>
      <x:c r="F279" t="str">
        <x:v>ACEPTADO</x:v>
      </x:c>
    </x:row>
    <x:row r="280">
      <x:c r="A280" t="str">
        <x:v>2007-11</x:v>
      </x:c>
      <x:c r="B280" t="n">
        <x:v>30</x:v>
      </x:c>
      <x:c r="C280" t="n">
        <x:v>30</x:v>
      </x:c>
      <x:c r="D280" s="79" t="n">
        <x:v>1</x:v>
      </x:c>
      <x:c r="E280" s="82" t="n">
        <x:v>88</x:v>
      </x:c>
      <x:c r="F280" t="str">
        <x:v>ACEPTADO</x:v>
      </x:c>
    </x:row>
    <x:row r="281">
      <x:c r="A281" t="str">
        <x:v>2007-12</x:v>
      </x:c>
      <x:c r="B281" t="n">
        <x:v>31</x:v>
      </x:c>
      <x:c r="C281" t="n">
        <x:v>31</x:v>
      </x:c>
      <x:c r="D281" s="79" t="n">
        <x:v>1</x:v>
      </x:c>
      <x:c r="E281" s="82" t="n">
        <x:v>71</x:v>
      </x:c>
      <x:c r="F281" t="str">
        <x:v>ACEPTADO</x:v>
      </x:c>
    </x:row>
    <x:row r="282">
      <x:c r="A282" t="str">
        <x:v>2008-01</x:v>
      </x:c>
      <x:c r="B282" t="n">
        <x:v>31</x:v>
      </x:c>
      <x:c r="C282" t="n">
        <x:v>31</x:v>
      </x:c>
      <x:c r="D282" s="79" t="n">
        <x:v>1</x:v>
      </x:c>
      <x:c r="E282" s="82" t="n">
        <x:v>1180</x:v>
      </x:c>
      <x:c r="F282" t="str">
        <x:v>ACEPTADO</x:v>
      </x:c>
    </x:row>
    <x:row r="283">
      <x:c r="A283" t="str">
        <x:v>2008-02</x:v>
      </x:c>
      <x:c r="B283" t="n">
        <x:v>29</x:v>
      </x:c>
      <x:c r="C283" t="n">
        <x:v>29</x:v>
      </x:c>
      <x:c r="D283" s="79" t="n">
        <x:v>1</x:v>
      </x:c>
      <x:c r="E283" s="82" t="n">
        <x:v>332</x:v>
      </x:c>
      <x:c r="F283" t="str">
        <x:v>ACEPTADO</x:v>
      </x:c>
    </x:row>
    <x:row r="284">
      <x:c r="A284" t="str">
        <x:v>2008-03</x:v>
      </x:c>
      <x:c r="B284" t="n">
        <x:v>31</x:v>
      </x:c>
      <x:c r="C284" t="n">
        <x:v>31</x:v>
      </x:c>
      <x:c r="D284" s="79" t="n">
        <x:v>1</x:v>
      </x:c>
      <x:c r="E284" s="82" t="n">
        <x:v>230</x:v>
      </x:c>
      <x:c r="F284" t="str">
        <x:v>ACEPTADO</x:v>
      </x:c>
    </x:row>
    <x:row r="285">
      <x:c r="A285" t="str">
        <x:v>2008-04</x:v>
      </x:c>
      <x:c r="B285" t="n">
        <x:v>30</x:v>
      </x:c>
      <x:c r="C285" t="n">
        <x:v>30</x:v>
      </x:c>
      <x:c r="D285" s="79" t="n">
        <x:v>1</x:v>
      </x:c>
      <x:c r="E285" s="82" t="n">
        <x:v>237</x:v>
      </x:c>
      <x:c r="F285" t="str">
        <x:v>ACEPTADO</x:v>
      </x:c>
    </x:row>
    <x:row r="286">
      <x:c r="A286" t="str">
        <x:v>2008-05</x:v>
      </x:c>
      <x:c r="B286" t="n">
        <x:v>31</x:v>
      </x:c>
      <x:c r="C286" t="n">
        <x:v>31</x:v>
      </x:c>
      <x:c r="D286" s="79" t="n">
        <x:v>1</x:v>
      </x:c>
      <x:c r="E286" s="82" t="n">
        <x:v>463</x:v>
      </x:c>
      <x:c r="F286" t="str">
        <x:v>ACEPTADO</x:v>
      </x:c>
    </x:row>
    <x:row r="287">
      <x:c r="A287" t="str">
        <x:v>2008-06</x:v>
      </x:c>
      <x:c r="B287" t="n">
        <x:v>30</x:v>
      </x:c>
      <x:c r="C287" t="n">
        <x:v>30</x:v>
      </x:c>
      <x:c r="D287" s="79" t="n">
        <x:v>1</x:v>
      </x:c>
      <x:c r="E287" s="82" t="n">
        <x:v>286</x:v>
      </x:c>
      <x:c r="F287" t="str">
        <x:v>ACEPTADO</x:v>
      </x:c>
    </x:row>
    <x:row r="288">
      <x:c r="A288" t="str">
        <x:v>2008-07</x:v>
      </x:c>
      <x:c r="B288" t="n">
        <x:v>31</x:v>
      </x:c>
      <x:c r="C288" t="n">
        <x:v>31</x:v>
      </x:c>
      <x:c r="D288" s="79" t="n">
        <x:v>1</x:v>
      </x:c>
      <x:c r="E288" s="82" t="n">
        <x:v>336</x:v>
      </x:c>
      <x:c r="F288" t="str">
        <x:v>ACEPTADO</x:v>
      </x:c>
    </x:row>
    <x:row r="289">
      <x:c r="A289" t="str">
        <x:v>2008-08</x:v>
      </x:c>
      <x:c r="B289" t="n">
        <x:v>31</x:v>
      </x:c>
      <x:c r="C289" t="n">
        <x:v>31</x:v>
      </x:c>
      <x:c r="D289" s="79" t="n">
        <x:v>1</x:v>
      </x:c>
      <x:c r="E289" s="82" t="n">
        <x:v>348</x:v>
      </x:c>
      <x:c r="F289" t="str">
        <x:v>ACEPTADO</x:v>
      </x:c>
    </x:row>
    <x:row r="290">
      <x:c r="A290" t="str">
        <x:v>2008-09</x:v>
      </x:c>
      <x:c r="B290" t="n">
        <x:v>30</x:v>
      </x:c>
      <x:c r="C290" t="n">
        <x:v>30</x:v>
      </x:c>
      <x:c r="D290" s="79" t="n">
        <x:v>1</x:v>
      </x:c>
      <x:c r="E290" s="82" t="n">
        <x:v>188</x:v>
      </x:c>
      <x:c r="F290" t="str">
        <x:v>ACEPTADO</x:v>
      </x:c>
    </x:row>
    <x:row r="291">
      <x:c r="A291" t="str">
        <x:v>2008-10</x:v>
      </x:c>
      <x:c r="B291" t="n">
        <x:v>31</x:v>
      </x:c>
      <x:c r="C291" t="n">
        <x:v>31</x:v>
      </x:c>
      <x:c r="D291" s="79" t="n">
        <x:v>1</x:v>
      </x:c>
      <x:c r="E291" s="82" t="n">
        <x:v>413</x:v>
      </x:c>
      <x:c r="F291" t="str">
        <x:v>ACEPTADO</x:v>
      </x:c>
    </x:row>
    <x:row r="292">
      <x:c r="A292" t="str">
        <x:v>2008-11</x:v>
      </x:c>
      <x:c r="B292" t="n">
        <x:v>30</x:v>
      </x:c>
      <x:c r="C292" t="n">
        <x:v>30</x:v>
      </x:c>
      <x:c r="D292" s="79" t="n">
        <x:v>1</x:v>
      </x:c>
      <x:c r="E292" s="82" t="n">
        <x:v>121</x:v>
      </x:c>
      <x:c r="F292" t="str">
        <x:v>ACEPTADO</x:v>
      </x:c>
    </x:row>
    <x:row r="293">
      <x:c r="A293" t="str">
        <x:v>2008-12</x:v>
      </x:c>
      <x:c r="B293" t="n">
        <x:v>31</x:v>
      </x:c>
      <x:c r="C293" t="n">
        <x:v>31</x:v>
      </x:c>
      <x:c r="D293" s="79" t="n">
        <x:v>1</x:v>
      </x:c>
      <x:c r="E293" s="82" t="n">
        <x:v>84</x:v>
      </x:c>
      <x:c r="F293" t="str">
        <x:v>ACEPTADO</x:v>
      </x:c>
    </x:row>
    <x:row r="294">
      <x:c r="A294" t="str">
        <x:v>2009-01</x:v>
      </x:c>
      <x:c r="B294" t="n">
        <x:v>31</x:v>
      </x:c>
      <x:c r="C294" t="n">
        <x:v>31</x:v>
      </x:c>
      <x:c r="D294" s="79" t="n">
        <x:v>1</x:v>
      </x:c>
      <x:c r="E294" s="82" t="n">
        <x:v>78</x:v>
      </x:c>
      <x:c r="F294" t="str">
        <x:v>ACEPTADO</x:v>
      </x:c>
    </x:row>
    <x:row r="295">
      <x:c r="A295" t="str">
        <x:v>2009-02</x:v>
      </x:c>
      <x:c r="B295" t="n">
        <x:v>28</x:v>
      </x:c>
      <x:c r="C295" t="n">
        <x:v>28</x:v>
      </x:c>
      <x:c r="D295" s="79" t="n">
        <x:v>1</x:v>
      </x:c>
      <x:c r="E295" s="82" t="n">
        <x:v>38</x:v>
      </x:c>
      <x:c r="F295" t="str">
        <x:v>ACEPTADO</x:v>
      </x:c>
    </x:row>
    <x:row r="296">
      <x:c r="A296" t="str">
        <x:v>2009-03</x:v>
      </x:c>
      <x:c r="B296" t="n">
        <x:v>31</x:v>
      </x:c>
      <x:c r="C296" t="n">
        <x:v>31</x:v>
      </x:c>
      <x:c r="D296" s="79" t="n">
        <x:v>1</x:v>
      </x:c>
      <x:c r="E296" s="82" t="n">
        <x:v>119</x:v>
      </x:c>
      <x:c r="F296" t="str">
        <x:v>ACEPTADO</x:v>
      </x:c>
    </x:row>
    <x:row r="297">
      <x:c r="A297" t="str">
        <x:v>2009-04</x:v>
      </x:c>
      <x:c r="B297" t="n">
        <x:v>30</x:v>
      </x:c>
      <x:c r="C297" t="n">
        <x:v>30</x:v>
      </x:c>
      <x:c r="D297" s="79" t="n">
        <x:v>1</x:v>
      </x:c>
      <x:c r="E297" s="82" t="n">
        <x:v>234</x:v>
      </x:c>
      <x:c r="F297" t="str">
        <x:v>ACEPTADO</x:v>
      </x:c>
    </x:row>
    <x:row r="298">
      <x:c r="A298" t="str">
        <x:v>2009-05</x:v>
      </x:c>
      <x:c r="B298" t="n">
        <x:v>31</x:v>
      </x:c>
      <x:c r="C298" t="n">
        <x:v>31</x:v>
      </x:c>
      <x:c r="D298" s="79" t="n">
        <x:v>1</x:v>
      </x:c>
      <x:c r="E298" s="82" t="n">
        <x:v>147</x:v>
      </x:c>
      <x:c r="F298" t="str">
        <x:v>ACEPTADO</x:v>
      </x:c>
    </x:row>
    <x:row r="299">
      <x:c r="A299" t="str">
        <x:v>2009-06</x:v>
      </x:c>
      <x:c r="B299" t="n">
        <x:v>30</x:v>
      </x:c>
      <x:c r="C299" t="n">
        <x:v>30</x:v>
      </x:c>
      <x:c r="D299" s="79" t="n">
        <x:v>1</x:v>
      </x:c>
      <x:c r="E299" s="82" t="n">
        <x:v>192</x:v>
      </x:c>
      <x:c r="F299" t="str">
        <x:v>ACEPTADO</x:v>
      </x:c>
    </x:row>
    <x:row r="300">
      <x:c r="A300" t="str">
        <x:v>2009-07</x:v>
      </x:c>
      <x:c r="B300" t="n">
        <x:v>31</x:v>
      </x:c>
      <x:c r="C300" t="n">
        <x:v>31</x:v>
      </x:c>
      <x:c r="D300" s="79" t="n">
        <x:v>1</x:v>
      </x:c>
      <x:c r="E300" s="82" t="n">
        <x:v>233</x:v>
      </x:c>
      <x:c r="F300" t="str">
        <x:v>ACEPTADO</x:v>
      </x:c>
    </x:row>
    <x:row r="301">
      <x:c r="A301" t="str">
        <x:v>2009-08</x:v>
      </x:c>
      <x:c r="B301" t="n">
        <x:v>30</x:v>
      </x:c>
      <x:c r="C301" t="n">
        <x:v>31</x:v>
      </x:c>
      <x:c r="D301" s="79" t="n">
        <x:v>0.96774</x:v>
      </x:c>
      <x:c r="E301" s="82" t="n">
        <x:v>209</x:v>
      </x:c>
      <x:c r="F301" t="str">
        <x:v>ACEPTADO</x:v>
      </x:c>
    </x:row>
    <x:row r="302">
      <x:c r="A302" t="str">
        <x:v>2009-09</x:v>
      </x:c>
      <x:c r="B302" t="n">
        <x:v>30</x:v>
      </x:c>
      <x:c r="C302" t="n">
        <x:v>30</x:v>
      </x:c>
      <x:c r="D302" s="79" t="n">
        <x:v>1</x:v>
      </x:c>
      <x:c r="E302" s="82" t="n">
        <x:v>2</x:v>
      </x:c>
      <x:c r="F302" t="str">
        <x:v>ACEPTADO</x:v>
      </x:c>
    </x:row>
    <x:row r="303">
      <x:c r="A303" t="str">
        <x:v>2009-10</x:v>
      </x:c>
      <x:c r="B303" t="n">
        <x:v>31</x:v>
      </x:c>
      <x:c r="C303" t="n">
        <x:v>31</x:v>
      </x:c>
      <x:c r="D303" s="79" t="n">
        <x:v>1</x:v>
      </x:c>
      <x:c r="E303" s="82" t="n">
        <x:v>26</x:v>
      </x:c>
      <x:c r="F303" t="str">
        <x:v>ACEPTADO</x:v>
      </x:c>
    </x:row>
    <x:row r="304">
      <x:c r="A304" t="str">
        <x:v>2009-11</x:v>
      </x:c>
      <x:c r="B304" t="n">
        <x:v>30</x:v>
      </x:c>
      <x:c r="C304" t="n">
        <x:v>30</x:v>
      </x:c>
      <x:c r="D304" s="79" t="n">
        <x:v>1</x:v>
      </x:c>
      <x:c r="E304" s="82" t="n">
        <x:v>28</x:v>
      </x:c>
      <x:c r="F304" t="str">
        <x:v>ACEPTADO</x:v>
      </x:c>
    </x:row>
    <x:row r="305">
      <x:c r="A305" t="str">
        <x:v>2009-12</x:v>
      </x:c>
      <x:c r="B305" t="n">
        <x:v>31</x:v>
      </x:c>
      <x:c r="C305" t="n">
        <x:v>31</x:v>
      </x:c>
      <x:c r="D305" s="79" t="n">
        <x:v>1</x:v>
      </x:c>
      <x:c r="E305" s="82" t="n">
        <x:v>211</x:v>
      </x:c>
      <x:c r="F305" t="str">
        <x:v>ACEPTADO</x:v>
      </x:c>
    </x:row>
    <x:row r="306">
      <x:c r="A306" t="str">
        <x:v>2010-01</x:v>
      </x:c>
      <x:c r="B306" t="n">
        <x:v>31</x:v>
      </x:c>
      <x:c r="C306" t="n">
        <x:v>31</x:v>
      </x:c>
      <x:c r="D306" s="79" t="n">
        <x:v>1</x:v>
      </x:c>
      <x:c r="E306" s="82" t="n">
        <x:v>243</x:v>
      </x:c>
      <x:c r="F306" t="str">
        <x:v>ACEPTADO</x:v>
      </x:c>
    </x:row>
    <x:row r="307">
      <x:c r="A307" t="str">
        <x:v>2010-02</x:v>
      </x:c>
      <x:c r="B307" t="n">
        <x:v>28</x:v>
      </x:c>
      <x:c r="C307" t="n">
        <x:v>28</x:v>
      </x:c>
      <x:c r="D307" s="79" t="n">
        <x:v>1</x:v>
      </x:c>
      <x:c r="E307" s="82" t="n">
        <x:v>214</x:v>
      </x:c>
      <x:c r="F307" t="str">
        <x:v>ACEPTADO</x:v>
      </x:c>
    </x:row>
    <x:row r="308">
      <x:c r="A308" t="str">
        <x:v>2010-03</x:v>
      </x:c>
      <x:c r="B308" t="n">
        <x:v>31</x:v>
      </x:c>
      <x:c r="C308" t="n">
        <x:v>31</x:v>
      </x:c>
      <x:c r="D308" s="79" t="n">
        <x:v>1</x:v>
      </x:c>
      <x:c r="E308" s="82" t="n">
        <x:v>417</x:v>
      </x:c>
      <x:c r="F308" t="str">
        <x:v>ACEPTADO</x:v>
      </x:c>
    </x:row>
    <x:row r="309">
      <x:c r="A309" t="str">
        <x:v>2010-04</x:v>
      </x:c>
      <x:c r="B309" t="n">
        <x:v>30</x:v>
      </x:c>
      <x:c r="C309" t="n">
        <x:v>30</x:v>
      </x:c>
      <x:c r="D309" s="79" t="n">
        <x:v>1</x:v>
      </x:c>
      <x:c r="E309" s="82" t="n">
        <x:v>413</x:v>
      </x:c>
      <x:c r="F309" t="str">
        <x:v>ACEPTADO</x:v>
      </x:c>
    </x:row>
    <x:row r="310">
      <x:c r="A310" t="str">
        <x:v>2010-05</x:v>
      </x:c>
      <x:c r="B310" t="n">
        <x:v>31</x:v>
      </x:c>
      <x:c r="C310" t="n">
        <x:v>31</x:v>
      </x:c>
      <x:c r="D310" s="79" t="n">
        <x:v>1</x:v>
      </x:c>
      <x:c r="E310" s="82" t="n">
        <x:v>171</x:v>
      </x:c>
      <x:c r="F310" t="str">
        <x:v>ACEPTADO</x:v>
      </x:c>
    </x:row>
    <x:row r="311">
      <x:c r="A311" t="str">
        <x:v>2010-06</x:v>
      </x:c>
      <x:c r="B311" t="n">
        <x:v>30</x:v>
      </x:c>
      <x:c r="C311" t="n">
        <x:v>30</x:v>
      </x:c>
      <x:c r="D311" s="79" t="n">
        <x:v>1</x:v>
      </x:c>
      <x:c r="E311" s="82" t="n">
        <x:v>308</x:v>
      </x:c>
      <x:c r="F311" t="str">
        <x:v>ACEPTADO</x:v>
      </x:c>
    </x:row>
    <x:row r="312">
      <x:c r="A312" t="str">
        <x:v>2010-07</x:v>
      </x:c>
      <x:c r="B312" t="n">
        <x:v>31</x:v>
      </x:c>
      <x:c r="C312" t="n">
        <x:v>31</x:v>
      </x:c>
      <x:c r="D312" s="79" t="n">
        <x:v>1</x:v>
      </x:c>
      <x:c r="E312" s="82" t="n">
        <x:v>121</x:v>
      </x:c>
      <x:c r="F312" t="str">
        <x:v>ACEPTADO</x:v>
      </x:c>
    </x:row>
    <x:row r="313">
      <x:c r="A313" t="str">
        <x:v>2010-08</x:v>
      </x:c>
      <x:c r="B313" t="n">
        <x:v>31</x:v>
      </x:c>
      <x:c r="C313" t="n">
        <x:v>31</x:v>
      </x:c>
      <x:c r="D313" s="79" t="n">
        <x:v>1</x:v>
      </x:c>
      <x:c r="E313" s="82" t="n">
        <x:v>25</x:v>
      </x:c>
      <x:c r="F313" t="str">
        <x:v>ACEPTADO</x:v>
      </x:c>
    </x:row>
    <x:row r="314">
      <x:c r="A314" t="str">
        <x:v>2010-09</x:v>
      </x:c>
      <x:c r="B314" t="n">
        <x:v>30</x:v>
      </x:c>
      <x:c r="C314" t="n">
        <x:v>30</x:v>
      </x:c>
      <x:c r="D314" s="79" t="n">
        <x:v>1</x:v>
      </x:c>
      <x:c r="E314" s="82" t="n">
        <x:v>249</x:v>
      </x:c>
      <x:c r="F314" t="str">
        <x:v>ACEPTADO</x:v>
      </x:c>
    </x:row>
    <x:row r="315">
      <x:c r="A315" t="str">
        <x:v>2010-10</x:v>
      </x:c>
      <x:c r="B315" t="n">
        <x:v>31</x:v>
      </x:c>
      <x:c r="C315" t="n">
        <x:v>31</x:v>
      </x:c>
      <x:c r="D315" s="79" t="n">
        <x:v>1</x:v>
      </x:c>
      <x:c r="E315" s="82" t="n">
        <x:v>130</x:v>
      </x:c>
      <x:c r="F315" t="str">
        <x:v>ACEPTADO</x:v>
      </x:c>
    </x:row>
    <x:row r="316">
      <x:c r="A316" t="str">
        <x:v>2010-11</x:v>
      </x:c>
      <x:c r="B316" t="n">
        <x:v>30</x:v>
      </x:c>
      <x:c r="C316" t="n">
        <x:v>30</x:v>
      </x:c>
      <x:c r="D316" s="79" t="n">
        <x:v>1</x:v>
      </x:c>
      <x:c r="E316" s="82" t="n">
        <x:v>229</x:v>
      </x:c>
      <x:c r="F316" t="str">
        <x:v>ACEPTADO</x:v>
      </x:c>
    </x:row>
    <x:row r="317">
      <x:c r="A317" t="str">
        <x:v>2010-12</x:v>
      </x:c>
      <x:c r="B317" t="n">
        <x:v>31</x:v>
      </x:c>
      <x:c r="C317" t="n">
        <x:v>31</x:v>
      </x:c>
      <x:c r="D317" s="79" t="n">
        <x:v>1</x:v>
      </x:c>
      <x:c r="E317" s="82" t="n">
        <x:v>378</x:v>
      </x:c>
      <x:c r="F317" t="str">
        <x:v>ACEPTADO</x:v>
      </x:c>
    </x:row>
    <x:row r="318">
      <x:c r="A318" t="str">
        <x:v>2011-01</x:v>
      </x:c>
      <x:c r="B318" t="n">
        <x:v>31</x:v>
      </x:c>
      <x:c r="C318" t="n">
        <x:v>31</x:v>
      </x:c>
      <x:c r="D318" s="79" t="n">
        <x:v>1</x:v>
      </x:c>
      <x:c r="E318" s="82" t="n">
        <x:v>290</x:v>
      </x:c>
      <x:c r="F318" t="str">
        <x:v>ACEPTADO</x:v>
      </x:c>
    </x:row>
    <x:row r="319">
      <x:c r="A319" t="str">
        <x:v>2011-02</x:v>
      </x:c>
      <x:c r="B319" t="n">
        <x:v>28</x:v>
      </x:c>
      <x:c r="C319" t="n">
        <x:v>28</x:v>
      </x:c>
      <x:c r="D319" s="79" t="n">
        <x:v>1</x:v>
      </x:c>
      <x:c r="E319" s="82" t="n">
        <x:v>103</x:v>
      </x:c>
      <x:c r="F319" t="str">
        <x:v>ACEPTADO</x:v>
      </x:c>
    </x:row>
    <x:row r="320">
      <x:c r="A320" t="str">
        <x:v>2011-03</x:v>
      </x:c>
      <x:c r="B320" t="n">
        <x:v>31</x:v>
      </x:c>
      <x:c r="C320" t="n">
        <x:v>31</x:v>
      </x:c>
      <x:c r="D320" s="79" t="n">
        <x:v>1</x:v>
      </x:c>
      <x:c r="E320" s="82" t="n">
        <x:v>121</x:v>
      </x:c>
      <x:c r="F320" t="str">
        <x:v>ACEPTADO</x:v>
      </x:c>
    </x:row>
    <x:row r="321">
      <x:c r="A321" t="str">
        <x:v>2011-04</x:v>
      </x:c>
      <x:c r="B321" t="n">
        <x:v>30</x:v>
      </x:c>
      <x:c r="C321" t="n">
        <x:v>30</x:v>
      </x:c>
      <x:c r="D321" s="79" t="n">
        <x:v>1</x:v>
      </x:c>
      <x:c r="E321" s="82" t="n">
        <x:v>290</x:v>
      </x:c>
      <x:c r="F321" t="str">
        <x:v>ACEPTADO</x:v>
      </x:c>
    </x:row>
    <x:row r="322">
      <x:c r="A322" t="str">
        <x:v>2011-05</x:v>
      </x:c>
      <x:c r="B322" t="n">
        <x:v>31</x:v>
      </x:c>
      <x:c r="C322" t="n">
        <x:v>31</x:v>
      </x:c>
      <x:c r="D322" s="79" t="n">
        <x:v>1</x:v>
      </x:c>
      <x:c r="E322" s="82" t="n">
        <x:v>101</x:v>
      </x:c>
      <x:c r="F322" t="str">
        <x:v>ACEPTADO</x:v>
      </x:c>
    </x:row>
    <x:row r="323">
      <x:c r="A323" t="str">
        <x:v>2011-06</x:v>
      </x:c>
      <x:c r="B323" t="n">
        <x:v>30</x:v>
      </x:c>
      <x:c r="C323" t="n">
        <x:v>30</x:v>
      </x:c>
      <x:c r="D323" s="79" t="n">
        <x:v>1</x:v>
      </x:c>
      <x:c r="E323" s="82" t="n">
        <x:v>127</x:v>
      </x:c>
      <x:c r="F323" t="str">
        <x:v>ACEPTADO</x:v>
      </x:c>
    </x:row>
    <x:row r="324">
      <x:c r="A324" t="str">
        <x:v>2011-07</x:v>
      </x:c>
      <x:c r="B324" t="n">
        <x:v>31</x:v>
      </x:c>
      <x:c r="C324" t="n">
        <x:v>31</x:v>
      </x:c>
      <x:c r="D324" s="79" t="n">
        <x:v>1</x:v>
      </x:c>
      <x:c r="E324" s="82" t="n">
        <x:v>197</x:v>
      </x:c>
      <x:c r="F324" t="str">
        <x:v>ACEPTADO</x:v>
      </x:c>
    </x:row>
    <x:row r="325">
      <x:c r="A325" t="str">
        <x:v>2011-08</x:v>
      </x:c>
      <x:c r="B325" t="n">
        <x:v>31</x:v>
      </x:c>
      <x:c r="C325" t="n">
        <x:v>31</x:v>
      </x:c>
      <x:c r="D325" s="79" t="n">
        <x:v>1</x:v>
      </x:c>
      <x:c r="E325" s="82" t="n">
        <x:v>152</x:v>
      </x:c>
      <x:c r="F325" t="str">
        <x:v>ACEPTADO</x:v>
      </x:c>
    </x:row>
    <x:row r="326">
      <x:c r="A326" t="str">
        <x:v>2011-09</x:v>
      </x:c>
      <x:c r="B326" t="n">
        <x:v>30</x:v>
      </x:c>
      <x:c r="C326" t="n">
        <x:v>30</x:v>
      </x:c>
      <x:c r="D326" s="79" t="n">
        <x:v>1</x:v>
      </x:c>
      <x:c r="E326" s="82" t="n">
        <x:v>56</x:v>
      </x:c>
      <x:c r="F326" t="str">
        <x:v>ACEPTADO</x:v>
      </x:c>
    </x:row>
    <x:row r="327">
      <x:c r="A327" t="str">
        <x:v>2011-10</x:v>
      </x:c>
      <x:c r="B327" t="n">
        <x:v>31</x:v>
      </x:c>
      <x:c r="C327" t="n">
        <x:v>31</x:v>
      </x:c>
      <x:c r="D327" s="79" t="n">
        <x:v>1</x:v>
      </x:c>
      <x:c r="E327" s="82" t="n">
        <x:v>129</x:v>
      </x:c>
      <x:c r="F327" t="str">
        <x:v>ACEPTADO</x:v>
      </x:c>
    </x:row>
    <x:row r="328">
      <x:c r="A328" t="str">
        <x:v>2011-11</x:v>
      </x:c>
      <x:c r="B328" t="n">
        <x:v>30</x:v>
      </x:c>
      <x:c r="C328" t="n">
        <x:v>30</x:v>
      </x:c>
      <x:c r="D328" s="79" t="n">
        <x:v>1</x:v>
      </x:c>
      <x:c r="E328" s="82" t="n">
        <x:v>0</x:v>
      </x:c>
      <x:c r="F328" t="str">
        <x:v>ACEPTADO</x:v>
      </x:c>
    </x:row>
    <x:row r="329">
      <x:c r="A329" t="str">
        <x:v>2011-12</x:v>
      </x:c>
      <x:c r="B329" t="n">
        <x:v>31</x:v>
      </x:c>
      <x:c r="C329" t="n">
        <x:v>31</x:v>
      </x:c>
      <x:c r="D329" s="79" t="n">
        <x:v>1</x:v>
      </x:c>
      <x:c r="E329" s="82" t="n">
        <x:v>50</x:v>
      </x:c>
      <x:c r="F329" t="str">
        <x:v>ACEPTADO</x:v>
      </x:c>
    </x:row>
    <x:row r="330">
      <x:c r="A330" t="str">
        <x:v>2012-01</x:v>
      </x:c>
      <x:c r="B330" t="n">
        <x:v>31</x:v>
      </x:c>
      <x:c r="C330" t="n">
        <x:v>31</x:v>
      </x:c>
      <x:c r="D330" s="79" t="n">
        <x:v>1</x:v>
      </x:c>
      <x:c r="E330" s="82" t="n">
        <x:v>499</x:v>
      </x:c>
      <x:c r="F330" t="str">
        <x:v>ACEPTADO</x:v>
      </x:c>
    </x:row>
    <x:row r="331">
      <x:c r="A331" t="str">
        <x:v>2012-02</x:v>
      </x:c>
      <x:c r="B331" t="n">
        <x:v>29</x:v>
      </x:c>
      <x:c r="C331" t="n">
        <x:v>29</x:v>
      </x:c>
      <x:c r="D331" s="79" t="n">
        <x:v>1</x:v>
      </x:c>
      <x:c r="E331" s="82" t="n">
        <x:v>255</x:v>
      </x:c>
      <x:c r="F331" t="str">
        <x:v>ACEPTADO</x:v>
      </x:c>
    </x:row>
    <x:row r="332">
      <x:c r="A332" t="str">
        <x:v>2012-03</x:v>
      </x:c>
      <x:c r="B332" t="n">
        <x:v>31</x:v>
      </x:c>
      <x:c r="C332" t="n">
        <x:v>31</x:v>
      </x:c>
      <x:c r="D332" s="79" t="n">
        <x:v>1</x:v>
      </x:c>
      <x:c r="E332" s="82" t="n">
        <x:v>212</x:v>
      </x:c>
      <x:c r="F332" t="str">
        <x:v>ACEPTADO</x:v>
      </x:c>
    </x:row>
    <x:row r="333">
      <x:c r="A333" t="str">
        <x:v>2012-04</x:v>
      </x:c>
      <x:c r="B333" t="n">
        <x:v>30</x:v>
      </x:c>
      <x:c r="C333" t="n">
        <x:v>30</x:v>
      </x:c>
      <x:c r="D333" s="79" t="n">
        <x:v>1</x:v>
      </x:c>
      <x:c r="E333" s="82" t="n">
        <x:v>318</x:v>
      </x:c>
      <x:c r="F333" t="str">
        <x:v>ACEPTADO</x:v>
      </x:c>
    </x:row>
    <x:row r="334">
      <x:c r="A334" t="str">
        <x:v>2012-05</x:v>
      </x:c>
      <x:c r="B334" t="n">
        <x:v>31</x:v>
      </x:c>
      <x:c r="C334" t="n">
        <x:v>31</x:v>
      </x:c>
      <x:c r="D334" s="79" t="n">
        <x:v>1</x:v>
      </x:c>
      <x:c r="E334" s="82" t="n">
        <x:v>554</x:v>
      </x:c>
      <x:c r="F334" t="str">
        <x:v>ACEPTADO</x:v>
      </x:c>
    </x:row>
    <x:row r="335">
      <x:c r="A335" t="str">
        <x:v>2012-06</x:v>
      </x:c>
      <x:c r="B335" t="n">
        <x:v>29</x:v>
      </x:c>
      <x:c r="C335" t="n">
        <x:v>30</x:v>
      </x:c>
      <x:c r="D335" s="79" t="n">
        <x:v>0.96667</x:v>
      </x:c>
      <x:c r="E335" s="82" t="n">
        <x:v>265</x:v>
      </x:c>
      <x:c r="F335" t="str">
        <x:v>ACEPTADO</x:v>
      </x:c>
    </x:row>
    <x:row r="336">
      <x:c r="A336" t="str">
        <x:v>2012-07</x:v>
      </x:c>
      <x:c r="B336" t="n">
        <x:v>31</x:v>
      </x:c>
      <x:c r="C336" t="n">
        <x:v>31</x:v>
      </x:c>
      <x:c r="D336" s="79" t="n">
        <x:v>1</x:v>
      </x:c>
      <x:c r="E336" s="82" t="n">
        <x:v>55</x:v>
      </x:c>
      <x:c r="F336" t="str">
        <x:v>ACEPTADO</x:v>
      </x:c>
    </x:row>
    <x:row r="337">
      <x:c r="A337" t="str">
        <x:v>2012-08</x:v>
      </x:c>
      <x:c r="B337" t="n">
        <x:v>31</x:v>
      </x:c>
      <x:c r="C337" t="n">
        <x:v>31</x:v>
      </x:c>
      <x:c r="D337" s="79" t="n">
        <x:v>1</x:v>
      </x:c>
      <x:c r="E337" s="82" t="n">
        <x:v>33</x:v>
      </x:c>
      <x:c r="F337" t="str">
        <x:v>ACEPTADO</x:v>
      </x:c>
    </x:row>
    <x:row r="338">
      <x:c r="A338" t="str">
        <x:v>2012-09</x:v>
      </x:c>
      <x:c r="B338" t="n">
        <x:v>30</x:v>
      </x:c>
      <x:c r="C338" t="n">
        <x:v>30</x:v>
      </x:c>
      <x:c r="D338" s="79" t="n">
        <x:v>1</x:v>
      </x:c>
      <x:c r="E338" s="82" t="n">
        <x:v>62</x:v>
      </x:c>
      <x:c r="F338" t="str">
        <x:v>ACEPTADO</x:v>
      </x:c>
    </x:row>
    <x:row r="339">
      <x:c r="A339" t="str">
        <x:v>2012-10</x:v>
      </x:c>
      <x:c r="B339" t="n">
        <x:v>31</x:v>
      </x:c>
      <x:c r="C339" t="n">
        <x:v>31</x:v>
      </x:c>
      <x:c r="D339" s="79" t="n">
        <x:v>1</x:v>
      </x:c>
      <x:c r="E339" s="82" t="n">
        <x:v>78</x:v>
      </x:c>
      <x:c r="F339" t="str">
        <x:v>ACEPTADO</x:v>
      </x:c>
    </x:row>
    <x:row r="340">
      <x:c r="A340" t="str">
        <x:v>2012-11</x:v>
      </x:c>
      <x:c r="B340" t="n">
        <x:v>30</x:v>
      </x:c>
      <x:c r="C340" t="n">
        <x:v>30</x:v>
      </x:c>
      <x:c r="D340" s="79" t="n">
        <x:v>1</x:v>
      </x:c>
      <x:c r="E340" s="82" t="n">
        <x:v>55</x:v>
      </x:c>
      <x:c r="F340" t="str">
        <x:v>ACEPTADO</x:v>
      </x:c>
    </x:row>
    <x:row r="341">
      <x:c r="A341" t="str">
        <x:v>2012-12</x:v>
      </x:c>
      <x:c r="B341" t="n">
        <x:v>31</x:v>
      </x:c>
      <x:c r="C341" t="n">
        <x:v>31</x:v>
      </x:c>
      <x:c r="D341" s="79" t="n">
        <x:v>1</x:v>
      </x:c>
      <x:c r="E341" s="82" t="n">
        <x:v>27</x:v>
      </x:c>
      <x:c r="F341" t="str">
        <x:v>ACEPTADO</x:v>
      </x:c>
    </x:row>
    <x:row r="342">
      <x:c r="A342" t="str">
        <x:v>2013-01</x:v>
      </x:c>
      <x:c r="B342" t="n">
        <x:v>31</x:v>
      </x:c>
      <x:c r="C342" t="n">
        <x:v>31</x:v>
      </x:c>
      <x:c r="D342" s="79" t="n">
        <x:v>1</x:v>
      </x:c>
      <x:c r="E342" s="82" t="n">
        <x:v>274</x:v>
      </x:c>
      <x:c r="F342" t="str">
        <x:v>ACEPTADO</x:v>
      </x:c>
    </x:row>
    <x:row r="343">
      <x:c r="A343" t="str">
        <x:v>2013-02</x:v>
      </x:c>
      <x:c r="B343" t="n">
        <x:v>28</x:v>
      </x:c>
      <x:c r="C343" t="n">
        <x:v>28</x:v>
      </x:c>
      <x:c r="D343" s="79" t="n">
        <x:v>1</x:v>
      </x:c>
      <x:c r="E343" s="82" t="n">
        <x:v>267</x:v>
      </x:c>
      <x:c r="F343" t="str">
        <x:v>ACEPTADO</x:v>
      </x:c>
    </x:row>
    <x:row r="344">
      <x:c r="A344" t="str">
        <x:v>2013-03</x:v>
      </x:c>
      <x:c r="B344" t="n">
        <x:v>31</x:v>
      </x:c>
      <x:c r="C344" t="n">
        <x:v>31</x:v>
      </x:c>
      <x:c r="D344" s="79" t="n">
        <x:v>1</x:v>
      </x:c>
      <x:c r="E344" s="82" t="n">
        <x:v>346</x:v>
      </x:c>
      <x:c r="F344" t="str">
        <x:v>ACEPTADO</x:v>
      </x:c>
    </x:row>
    <x:row r="345">
      <x:c r="A345" t="str">
        <x:v>2013-04</x:v>
      </x:c>
      <x:c r="B345" t="n">
        <x:v>30</x:v>
      </x:c>
      <x:c r="C345" t="n">
        <x:v>30</x:v>
      </x:c>
      <x:c r="D345" s="79" t="n">
        <x:v>1</x:v>
      </x:c>
      <x:c r="E345" s="82" t="n">
        <x:v>561</x:v>
      </x:c>
      <x:c r="F345" t="str">
        <x:v>ACEPTADO</x:v>
      </x:c>
    </x:row>
    <x:row r="346">
      <x:c r="A346" t="str">
        <x:v>2013-05</x:v>
      </x:c>
      <x:c r="B346" t="n">
        <x:v>31</x:v>
      </x:c>
      <x:c r="C346" t="n">
        <x:v>31</x:v>
      </x:c>
      <x:c r="D346" s="79" t="n">
        <x:v>1</x:v>
      </x:c>
      <x:c r="E346" s="82" t="n">
        <x:v>433</x:v>
      </x:c>
      <x:c r="F346" t="str">
        <x:v>ACEPTADO</x:v>
      </x:c>
    </x:row>
    <x:row r="347">
      <x:c r="A347" t="str">
        <x:v>2013-06</x:v>
      </x:c>
      <x:c r="B347" t="n">
        <x:v>30</x:v>
      </x:c>
      <x:c r="C347" t="n">
        <x:v>30</x:v>
      </x:c>
      <x:c r="D347" s="79" t="n">
        <x:v>1</x:v>
      </x:c>
      <x:c r="E347" s="82" t="n">
        <x:v>118</x:v>
      </x:c>
      <x:c r="F347" t="str">
        <x:v>ACEPTADO</x:v>
      </x:c>
    </x:row>
    <x:row r="348">
      <x:c r="A348" t="str">
        <x:v>2013-07</x:v>
      </x:c>
      <x:c r="B348" t="n">
        <x:v>31</x:v>
      </x:c>
      <x:c r="C348" t="n">
        <x:v>31</x:v>
      </x:c>
      <x:c r="D348" s="79" t="n">
        <x:v>1</x:v>
      </x:c>
      <x:c r="E348" s="82" t="n">
        <x:v>119</x:v>
      </x:c>
      <x:c r="F348" t="str">
        <x:v>ACEPTADO</x:v>
      </x:c>
    </x:row>
    <x:row r="349">
      <x:c r="A349" t="str">
        <x:v>2013-08</x:v>
      </x:c>
      <x:c r="B349" t="n">
        <x:v>31</x:v>
      </x:c>
      <x:c r="C349" t="n">
        <x:v>31</x:v>
      </x:c>
      <x:c r="D349" s="79" t="n">
        <x:v>1</x:v>
      </x:c>
      <x:c r="E349" s="82" t="n">
        <x:v>99</x:v>
      </x:c>
      <x:c r="F349" t="str">
        <x:v>ACEPTADO</x:v>
      </x:c>
    </x:row>
    <x:row r="350">
      <x:c r="A350" t="str">
        <x:v>2013-09</x:v>
      </x:c>
      <x:c r="B350" t="n">
        <x:v>30</x:v>
      </x:c>
      <x:c r="C350" t="n">
        <x:v>30</x:v>
      </x:c>
      <x:c r="D350" s="79" t="n">
        <x:v>1</x:v>
      </x:c>
      <x:c r="E350" s="82" t="n">
        <x:v>69</x:v>
      </x:c>
      <x:c r="F350" t="str">
        <x:v>ACEPTADO</x:v>
      </x:c>
    </x:row>
    <x:row r="351">
      <x:c r="A351" t="str">
        <x:v>2013-10</x:v>
      </x:c>
      <x:c r="B351" t="n">
        <x:v>31</x:v>
      </x:c>
      <x:c r="C351" t="n">
        <x:v>31</x:v>
      </x:c>
      <x:c r="D351" s="79" t="n">
        <x:v>1</x:v>
      </x:c>
      <x:c r="E351" s="82" t="n">
        <x:v>98</x:v>
      </x:c>
      <x:c r="F351" t="str">
        <x:v>ACEPTADO</x:v>
      </x:c>
    </x:row>
    <x:row r="352">
      <x:c r="A352" t="str">
        <x:v>2013-11</x:v>
      </x:c>
      <x:c r="B352" t="n">
        <x:v>30</x:v>
      </x:c>
      <x:c r="C352" t="n">
        <x:v>30</x:v>
      </x:c>
      <x:c r="D352" s="79" t="n">
        <x:v>1</x:v>
      </x:c>
      <x:c r="E352" s="82" t="n">
        <x:v>2</x:v>
      </x:c>
      <x:c r="F352" t="str">
        <x:v>ACEPTADO</x:v>
      </x:c>
    </x:row>
    <x:row r="353">
      <x:c r="A353" t="str">
        <x:v>2013-12</x:v>
      </x:c>
      <x:c r="B353" t="n">
        <x:v>31</x:v>
      </x:c>
      <x:c r="C353" t="n">
        <x:v>31</x:v>
      </x:c>
      <x:c r="D353" s="79" t="n">
        <x:v>1</x:v>
      </x:c>
      <x:c r="E353" s="82" t="n">
        <x:v>30</x:v>
      </x:c>
      <x:c r="F353" t="str">
        <x:v>ACEPTADO</x:v>
      </x:c>
    </x:row>
    <x:row r="354">
      <x:c r="A354" t="str">
        <x:v>2014-01</x:v>
      </x:c>
      <x:c r="B354" t="n">
        <x:v>31</x:v>
      </x:c>
      <x:c r="C354" t="n">
        <x:v>31</x:v>
      </x:c>
      <x:c r="D354" s="79" t="n">
        <x:v>1</x:v>
      </x:c>
      <x:c r="E354" s="82" t="n">
        <x:v>300</x:v>
      </x:c>
      <x:c r="F354" t="str">
        <x:v>ACEPTADO</x:v>
      </x:c>
    </x:row>
    <x:row r="355">
      <x:c r="A355" t="str">
        <x:v>2014-02</x:v>
      </x:c>
      <x:c r="B355" t="n">
        <x:v>28</x:v>
      </x:c>
      <x:c r="C355" t="n">
        <x:v>28</x:v>
      </x:c>
      <x:c r="D355" s="79" t="n">
        <x:v>1</x:v>
      </x:c>
      <x:c r="E355" s="82" t="n">
        <x:v>135</x:v>
      </x:c>
      <x:c r="F355" t="str">
        <x:v>ACEPTADO</x:v>
      </x:c>
    </x:row>
    <x:row r="356">
      <x:c r="A356" t="str">
        <x:v>2014-03</x:v>
      </x:c>
      <x:c r="B356" t="n">
        <x:v>31</x:v>
      </x:c>
      <x:c r="C356" t="n">
        <x:v>31</x:v>
      </x:c>
      <x:c r="D356" s="79" t="n">
        <x:v>1</x:v>
      </x:c>
      <x:c r="E356" s="82" t="n">
        <x:v>393</x:v>
      </x:c>
      <x:c r="F356" t="str">
        <x:v>ACEPTADO</x:v>
      </x:c>
    </x:row>
    <x:row r="357">
      <x:c r="A357" t="str">
        <x:v>2014-04</x:v>
      </x:c>
      <x:c r="B357" t="n">
        <x:v>30</x:v>
      </x:c>
      <x:c r="C357" t="n">
        <x:v>30</x:v>
      </x:c>
      <x:c r="D357" s="79" t="n">
        <x:v>1</x:v>
      </x:c>
      <x:c r="E357" s="82" t="n">
        <x:v>348</x:v>
      </x:c>
      <x:c r="F357" t="str">
        <x:v>ACEPTADO</x:v>
      </x:c>
    </x:row>
    <x:row r="358">
      <x:c r="A358" t="str">
        <x:v>2014-05</x:v>
      </x:c>
      <x:c r="B358" t="n">
        <x:v>31</x:v>
      </x:c>
      <x:c r="C358" t="n">
        <x:v>31</x:v>
      </x:c>
      <x:c r="D358" s="79" t="n">
        <x:v>1</x:v>
      </x:c>
      <x:c r="E358" s="82" t="n">
        <x:v>450</x:v>
      </x:c>
      <x:c r="F358" t="str">
        <x:v>ACEPTADO</x:v>
      </x:c>
    </x:row>
    <x:row r="359">
      <x:c r="A359" t="str">
        <x:v>2014-06</x:v>
      </x:c>
      <x:c r="B359" t="n">
        <x:v>30</x:v>
      </x:c>
      <x:c r="C359" t="n">
        <x:v>30</x:v>
      </x:c>
      <x:c r="D359" s="79" t="n">
        <x:v>1</x:v>
      </x:c>
      <x:c r="E359" s="82" t="n">
        <x:v>480</x:v>
      </x:c>
      <x:c r="F359" t="str">
        <x:v>ACEPTADO</x:v>
      </x:c>
    </x:row>
    <x:row r="360">
      <x:c r="A360" t="str">
        <x:v>2014-07</x:v>
      </x:c>
      <x:c r="B360" t="n">
        <x:v>31</x:v>
      </x:c>
      <x:c r="C360" t="n">
        <x:v>31</x:v>
      </x:c>
      <x:c r="D360" s="79" t="n">
        <x:v>1</x:v>
      </x:c>
      <x:c r="E360" s="82" t="n">
        <x:v>33</x:v>
      </x:c>
      <x:c r="F360" t="str">
        <x:v>ACEPTADO</x:v>
      </x:c>
    </x:row>
    <x:row r="361">
      <x:c r="A361" t="str">
        <x:v>2014-08</x:v>
      </x:c>
      <x:c r="B361" t="n">
        <x:v>31</x:v>
      </x:c>
      <x:c r="C361" t="n">
        <x:v>31</x:v>
      </x:c>
      <x:c r="D361" s="79" t="n">
        <x:v>1</x:v>
      </x:c>
      <x:c r="E361" s="82" t="n">
        <x:v>141</x:v>
      </x:c>
      <x:c r="F361" t="str">
        <x:v>ACEPTADO</x:v>
      </x:c>
    </x:row>
    <x:row r="362">
      <x:c r="A362" t="str">
        <x:v>2014-09</x:v>
      </x:c>
      <x:c r="B362" t="n">
        <x:v>30</x:v>
      </x:c>
      <x:c r="C362" t="n">
        <x:v>30</x:v>
      </x:c>
      <x:c r="D362" s="79" t="n">
        <x:v>1</x:v>
      </x:c>
      <x:c r="E362" s="82" t="n">
        <x:v>173</x:v>
      </x:c>
      <x:c r="F362" t="str">
        <x:v>ACEPTADO</x:v>
      </x:c>
    </x:row>
    <x:row r="363">
      <x:c r="A363" t="str">
        <x:v>2014-10</x:v>
      </x:c>
      <x:c r="B363" t="n">
        <x:v>31</x:v>
      </x:c>
      <x:c r="C363" t="n">
        <x:v>31</x:v>
      </x:c>
      <x:c r="D363" s="79" t="n">
        <x:v>1</x:v>
      </x:c>
      <x:c r="E363" s="82" t="n">
        <x:v>175</x:v>
      </x:c>
      <x:c r="F363" t="str">
        <x:v>ACEPTADO</x:v>
      </x:c>
    </x:row>
    <x:row r="364">
      <x:c r="A364" t="str">
        <x:v>2014-11</x:v>
      </x:c>
      <x:c r="B364" t="n">
        <x:v>30</x:v>
      </x:c>
      <x:c r="C364" t="n">
        <x:v>30</x:v>
      </x:c>
      <x:c r="D364" s="79" t="n">
        <x:v>1</x:v>
      </x:c>
      <x:c r="E364" s="82" t="n">
        <x:v>104</x:v>
      </x:c>
      <x:c r="F364" t="str">
        <x:v>ACEPTADO</x:v>
      </x:c>
    </x:row>
    <x:row r="365">
      <x:c r="A365" t="str">
        <x:v>2014-12</x:v>
      </x:c>
      <x:c r="B365" t="n">
        <x:v>31</x:v>
      </x:c>
      <x:c r="C365" t="n">
        <x:v>31</x:v>
      </x:c>
      <x:c r="D365" s="79" t="n">
        <x:v>1</x:v>
      </x:c>
      <x:c r="E365" s="82" t="n">
        <x:v>110</x:v>
      </x:c>
      <x:c r="F365" t="str">
        <x:v>ACEPTADO</x:v>
      </x:c>
    </x:row>
    <x:row r="366">
      <x:c r="A366" t="str">
        <x:v>2015-01</x:v>
      </x:c>
      <x:c r="B366" t="n">
        <x:v>31</x:v>
      </x:c>
      <x:c r="C366" t="n">
        <x:v>31</x:v>
      </x:c>
      <x:c r="D366" s="79" t="n">
        <x:v>1</x:v>
      </x:c>
      <x:c r="E366" s="82" t="n">
        <x:v>325</x:v>
      </x:c>
      <x:c r="F366" t="str">
        <x:v>ACEPTADO</x:v>
      </x:c>
    </x:row>
    <x:row r="367">
      <x:c r="A367" t="str">
        <x:v>2015-02</x:v>
      </x:c>
      <x:c r="B367" t="n">
        <x:v>28</x:v>
      </x:c>
      <x:c r="C367" t="n">
        <x:v>28</x:v>
      </x:c>
      <x:c r="D367" s="79" t="n">
        <x:v>1</x:v>
      </x:c>
      <x:c r="E367" s="82" t="n">
        <x:v>288</x:v>
      </x:c>
      <x:c r="F367" t="str">
        <x:v>ACEPTADO</x:v>
      </x:c>
    </x:row>
    <x:row r="368">
      <x:c r="A368" t="str">
        <x:v>2015-03</x:v>
      </x:c>
      <x:c r="B368" t="n">
        <x:v>31</x:v>
      </x:c>
      <x:c r="C368" t="n">
        <x:v>31</x:v>
      </x:c>
      <x:c r="D368" s="79" t="n">
        <x:v>1</x:v>
      </x:c>
      <x:c r="E368" s="82" t="n">
        <x:v>296</x:v>
      </x:c>
      <x:c r="F368" t="str">
        <x:v>ACEPTADO</x:v>
      </x:c>
    </x:row>
    <x:row r="369">
      <x:c r="A369" t="str">
        <x:v>2015-04</x:v>
      </x:c>
      <x:c r="B369" t="n">
        <x:v>30</x:v>
      </x:c>
      <x:c r="C369" t="n">
        <x:v>30</x:v>
      </x:c>
      <x:c r="D369" s="79" t="n">
        <x:v>1</x:v>
      </x:c>
      <x:c r="E369" s="82" t="n">
        <x:v>387</x:v>
      </x:c>
      <x:c r="F369" t="str">
        <x:v>ACEPTADO</x:v>
      </x:c>
    </x:row>
    <x:row r="370">
      <x:c r="A370" t="str">
        <x:v>2015-05</x:v>
      </x:c>
      <x:c r="B370" t="n">
        <x:v>31</x:v>
      </x:c>
      <x:c r="C370" t="n">
        <x:v>31</x:v>
      </x:c>
      <x:c r="D370" s="79" t="n">
        <x:v>1</x:v>
      </x:c>
      <x:c r="E370" s="82" t="n">
        <x:v>283</x:v>
      </x:c>
      <x:c r="F370" t="str">
        <x:v>ACEPTADO</x:v>
      </x:c>
    </x:row>
    <x:row r="371">
      <x:c r="A371" t="str">
        <x:v>2015-06</x:v>
      </x:c>
      <x:c r="B371" t="n">
        <x:v>30</x:v>
      </x:c>
      <x:c r="C371" t="n">
        <x:v>30</x:v>
      </x:c>
      <x:c r="D371" s="79" t="n">
        <x:v>1</x:v>
      </x:c>
      <x:c r="E371" s="82" t="n">
        <x:v>212</x:v>
      </x:c>
      <x:c r="F371" t="str">
        <x:v>ACEPTADO</x:v>
      </x:c>
    </x:row>
    <x:row r="372">
      <x:c r="A372" t="str">
        <x:v>2015-07</x:v>
      </x:c>
      <x:c r="B372" t="n">
        <x:v>29</x:v>
      </x:c>
      <x:c r="C372" t="n">
        <x:v>31</x:v>
      </x:c>
      <x:c r="D372" s="79" t="n">
        <x:v>0.93548</x:v>
      </x:c>
      <x:c r="E372" s="82" t="n">
        <x:v>346</x:v>
      </x:c>
      <x:c r="F372" t="str">
        <x:v>ACEPTADO</x:v>
      </x:c>
    </x:row>
    <x:row r="373">
      <x:c r="A373" t="str">
        <x:v>2015-08</x:v>
      </x:c>
      <x:c r="B373" t="n">
        <x:v>31</x:v>
      </x:c>
      <x:c r="C373" t="n">
        <x:v>31</x:v>
      </x:c>
      <x:c r="D373" s="79" t="n">
        <x:v>1</x:v>
      </x:c>
      <x:c r="E373" s="82" t="n">
        <x:v>238</x:v>
      </x:c>
      <x:c r="F373" t="str">
        <x:v>ACEPTADO</x:v>
      </x:c>
    </x:row>
    <x:row r="374">
      <x:c r="A374" t="str">
        <x:v>2015-09</x:v>
      </x:c>
      <x:c r="B374" t="n">
        <x:v>30</x:v>
      </x:c>
      <x:c r="C374" t="n">
        <x:v>30</x:v>
      </x:c>
      <x:c r="D374" s="79" t="n">
        <x:v>1</x:v>
      </x:c>
      <x:c r="E374" s="82" t="n">
        <x:v>156</x:v>
      </x:c>
      <x:c r="F374" t="str">
        <x:v>ACEPTADO</x:v>
      </x:c>
    </x:row>
    <x:row r="375">
      <x:c r="A375" t="str">
        <x:v>2015-10</x:v>
      </x:c>
      <x:c r="B375" t="n">
        <x:v>31</x:v>
      </x:c>
      <x:c r="C375" t="n">
        <x:v>31</x:v>
      </x:c>
      <x:c r="D375" s="79" t="n">
        <x:v>1</x:v>
      </x:c>
      <x:c r="E375" s="82" t="n">
        <x:v>197</x:v>
      </x:c>
      <x:c r="F375" t="str">
        <x:v>ACEPTADO</x:v>
      </x:c>
    </x:row>
    <x:row r="376">
      <x:c r="A376" t="str">
        <x:v>2015-11</x:v>
      </x:c>
      <x:c r="B376" t="n">
        <x:v>29</x:v>
      </x:c>
      <x:c r="C376" t="n">
        <x:v>30</x:v>
      </x:c>
      <x:c r="D376" s="79" t="n">
        <x:v>0.96667</x:v>
      </x:c>
      <x:c r="E376" s="82" t="n">
        <x:v>268</x:v>
      </x:c>
      <x:c r="F376" t="str">
        <x:v>ACEPTADO</x:v>
      </x:c>
    </x:row>
    <x:row r="377">
      <x:c r="A377" t="str">
        <x:v>2015-12</x:v>
      </x:c>
      <x:c r="B377" t="n">
        <x:v>31</x:v>
      </x:c>
      <x:c r="C377" t="n">
        <x:v>31</x:v>
      </x:c>
      <x:c r="D377" s="79" t="n">
        <x:v>1</x:v>
      </x:c>
      <x:c r="E377" s="82" t="n">
        <x:v>295</x:v>
      </x:c>
      <x:c r="F377" t="str">
        <x:v>ACEPTADO</x:v>
      </x:c>
    </x:row>
    <x:row r="378">
      <x:c r="A378" t="str">
        <x:v>2016-01</x:v>
      </x:c>
      <x:c r="B378" t="n">
        <x:v>31</x:v>
      </x:c>
      <x:c r="C378" t="n">
        <x:v>31</x:v>
      </x:c>
      <x:c r="D378" s="79" t="n">
        <x:v>1</x:v>
      </x:c>
      <x:c r="E378" s="82" t="n">
        <x:v>428</x:v>
      </x:c>
      <x:c r="F378" t="str">
        <x:v>ACEPTADO</x:v>
      </x:c>
    </x:row>
    <x:row r="379">
      <x:c r="A379" t="str">
        <x:v>2016-02</x:v>
      </x:c>
      <x:c r="B379" t="n">
        <x:v>29</x:v>
      </x:c>
      <x:c r="C379" t="n">
        <x:v>29</x:v>
      </x:c>
      <x:c r="D379" s="79" t="n">
        <x:v>1</x:v>
      </x:c>
      <x:c r="E379" s="82" t="n">
        <x:v>328</x:v>
      </x:c>
      <x:c r="F379" t="str">
        <x:v>ACEPTADO</x:v>
      </x:c>
    </x:row>
    <x:row r="380">
      <x:c r="A380" t="str">
        <x:v>2016-03</x:v>
      </x:c>
      <x:c r="B380" t="n">
        <x:v>31</x:v>
      </x:c>
      <x:c r="C380" t="n">
        <x:v>31</x:v>
      </x:c>
      <x:c r="D380" s="79" t="n">
        <x:v>1</x:v>
      </x:c>
      <x:c r="E380" s="82" t="n">
        <x:v>432</x:v>
      </x:c>
      <x:c r="F380" t="str">
        <x:v>ACEPTADO</x:v>
      </x:c>
    </x:row>
    <x:row r="381">
      <x:c r="A381" t="str">
        <x:v>2016-04</x:v>
      </x:c>
      <x:c r="B381" t="n">
        <x:v>28</x:v>
      </x:c>
      <x:c r="C381" t="n">
        <x:v>30</x:v>
      </x:c>
      <x:c r="D381" s="79" t="n">
        <x:v>0.93333</x:v>
      </x:c>
      <x:c r="E381" s="82" t="n">
        <x:v>751</x:v>
      </x:c>
      <x:c r="F381" t="str">
        <x:v>ACEPTADO</x:v>
      </x:c>
    </x:row>
    <x:row r="382">
      <x:c r="A382" t="str">
        <x:v>2016-05</x:v>
      </x:c>
      <x:c r="B382" t="n">
        <x:v>31</x:v>
      </x:c>
      <x:c r="C382" t="n">
        <x:v>31</x:v>
      </x:c>
      <x:c r="D382" s="79" t="n">
        <x:v>1</x:v>
      </x:c>
      <x:c r="E382" s="82" t="n">
        <x:v>734</x:v>
      </x:c>
      <x:c r="F382" t="str">
        <x:v>ACEPTADO</x:v>
      </x:c>
    </x:row>
    <x:row r="383">
      <x:c r="A383" t="str">
        <x:v>2016-06</x:v>
      </x:c>
      <x:c r="B383" t="n">
        <x:v>30</x:v>
      </x:c>
      <x:c r="C383" t="n">
        <x:v>30</x:v>
      </x:c>
      <x:c r="D383" s="79" t="n">
        <x:v>1</x:v>
      </x:c>
      <x:c r="E383" s="82" t="n">
        <x:v>415</x:v>
      </x:c>
      <x:c r="F383" t="str">
        <x:v>ACEPTADO</x:v>
      </x:c>
    </x:row>
    <x:row r="384">
      <x:c r="A384" t="str">
        <x:v>2016-07</x:v>
      </x:c>
      <x:c r="B384" t="n">
        <x:v>31</x:v>
      </x:c>
      <x:c r="C384" t="n">
        <x:v>31</x:v>
      </x:c>
      <x:c r="D384" s="79" t="n">
        <x:v>1</x:v>
      </x:c>
      <x:c r="E384" s="82" t="n">
        <x:v>197</x:v>
      </x:c>
      <x:c r="F384" t="str">
        <x:v>ACEPTADO</x:v>
      </x:c>
    </x:row>
    <x:row r="385">
      <x:c r="A385" t="str">
        <x:v>2016-08</x:v>
      </x:c>
      <x:c r="B385" t="n">
        <x:v>31</x:v>
      </x:c>
      <x:c r="C385" t="n">
        <x:v>31</x:v>
      </x:c>
      <x:c r="D385" s="79" t="n">
        <x:v>1</x:v>
      </x:c>
      <x:c r="E385" s="82" t="n">
        <x:v>16</x:v>
      </x:c>
      <x:c r="F385" t="str">
        <x:v>ACEPTADO</x:v>
      </x:c>
    </x:row>
    <x:row r="386">
      <x:c r="A386" t="str">
        <x:v>2016-09</x:v>
      </x:c>
      <x:c r="B386" t="n">
        <x:v>30</x:v>
      </x:c>
      <x:c r="C386" t="n">
        <x:v>30</x:v>
      </x:c>
      <x:c r="D386" s="79" t="n">
        <x:v>1</x:v>
      </x:c>
      <x:c r="E386" s="82" t="n">
        <x:v>223</x:v>
      </x:c>
      <x:c r="F386" t="str">
        <x:v>ACEPTADO</x:v>
      </x:c>
    </x:row>
    <x:row r="387">
      <x:c r="A387" t="str">
        <x:v>2016-10</x:v>
      </x:c>
      <x:c r="B387" t="n">
        <x:v>31</x:v>
      </x:c>
      <x:c r="C387" t="n">
        <x:v>31</x:v>
      </x:c>
      <x:c r="D387" s="79" t="n">
        <x:v>1</x:v>
      </x:c>
      <x:c r="E387" s="82" t="n">
        <x:v>187</x:v>
      </x:c>
      <x:c r="F387" t="str">
        <x:v>ACEPTADO</x:v>
      </x:c>
    </x:row>
    <x:row r="388">
      <x:c r="A388" t="str">
        <x:v>2017-01</x:v>
      </x:c>
      <x:c r="B388" t="n">
        <x:v>31</x:v>
      </x:c>
      <x:c r="C388" t="n">
        <x:v>31</x:v>
      </x:c>
      <x:c r="D388" s="79" t="n">
        <x:v>1</x:v>
      </x:c>
      <x:c r="E388" s="82" t="n">
        <x:v>397</x:v>
      </x:c>
      <x:c r="F388" t="str">
        <x:v>ACEPTADO</x:v>
      </x:c>
    </x:row>
    <x:row r="389">
      <x:c r="A389" t="str">
        <x:v>2017-02</x:v>
      </x:c>
      <x:c r="B389" t="n">
        <x:v>28</x:v>
      </x:c>
      <x:c r="C389" t="n">
        <x:v>28</x:v>
      </x:c>
      <x:c r="D389" s="79" t="n">
        <x:v>1</x:v>
      </x:c>
      <x:c r="E389" s="82" t="n">
        <x:v>230</x:v>
      </x:c>
      <x:c r="F389" t="str">
        <x:v>ACEPTADO</x:v>
      </x:c>
    </x:row>
    <x:row r="390">
      <x:c r="A390" t="str">
        <x:v>2017-03</x:v>
      </x:c>
      <x:c r="B390" t="n">
        <x:v>31</x:v>
      </x:c>
      <x:c r="C390" t="n">
        <x:v>31</x:v>
      </x:c>
      <x:c r="D390" s="79" t="n">
        <x:v>1</x:v>
      </x:c>
      <x:c r="E390" s="82" t="n">
        <x:v>233</x:v>
      </x:c>
      <x:c r="F390" t="str">
        <x:v>ACEPTADO</x:v>
      </x:c>
    </x:row>
    <x:row r="391">
      <x:c r="A391" t="str">
        <x:v>2017-04</x:v>
      </x:c>
      <x:c r="B391" t="n">
        <x:v>30</x:v>
      </x:c>
      <x:c r="C391" t="n">
        <x:v>30</x:v>
      </x:c>
      <x:c r="D391" s="79" t="n">
        <x:v>1</x:v>
      </x:c>
      <x:c r="E391" s="82" t="n">
        <x:v>283</x:v>
      </x:c>
      <x:c r="F391" t="str">
        <x:v>ACEPTADO</x:v>
      </x:c>
    </x:row>
    <x:row r="392">
      <x:c r="A392" t="str">
        <x:v>2017-05</x:v>
      </x:c>
      <x:c r="B392" t="n">
        <x:v>31</x:v>
      </x:c>
      <x:c r="C392" t="n">
        <x:v>31</x:v>
      </x:c>
      <x:c r="D392" s="79" t="n">
        <x:v>1</x:v>
      </x:c>
      <x:c r="E392" s="82" t="n">
        <x:v>894</x:v>
      </x:c>
      <x:c r="F392" t="str">
        <x:v>ACEPTADO</x:v>
      </x:c>
    </x:row>
    <x:row r="393">
      <x:c r="A393" t="str">
        <x:v>2017-06</x:v>
      </x:c>
      <x:c r="B393" t="n">
        <x:v>30</x:v>
      </x:c>
      <x:c r="C393" t="n">
        <x:v>30</x:v>
      </x:c>
      <x:c r="D393" s="79" t="n">
        <x:v>1</x:v>
      </x:c>
      <x:c r="E393" s="82" t="n">
        <x:v>571</x:v>
      </x:c>
      <x:c r="F393" t="str">
        <x:v>ACEPTADO</x:v>
      </x:c>
    </x:row>
    <x:row r="394">
      <x:c r="A394" t="str">
        <x:v>2017-07</x:v>
      </x:c>
      <x:c r="B394" t="n">
        <x:v>31</x:v>
      </x:c>
      <x:c r="C394" t="n">
        <x:v>31</x:v>
      </x:c>
      <x:c r="D394" s="79" t="n">
        <x:v>1</x:v>
      </x:c>
      <x:c r="E394" s="82" t="n">
        <x:v>98</x:v>
      </x:c>
      <x:c r="F394" t="str">
        <x:v>ACEPTADO</x:v>
      </x:c>
    </x:row>
    <x:row r="395">
      <x:c r="A395" t="str">
        <x:v>2017-08</x:v>
      </x:c>
      <x:c r="B395" t="n">
        <x:v>31</x:v>
      </x:c>
      <x:c r="C395" t="n">
        <x:v>31</x:v>
      </x:c>
      <x:c r="D395" s="79" t="n">
        <x:v>1</x:v>
      </x:c>
      <x:c r="E395" s="82" t="n">
        <x:v>298</x:v>
      </x:c>
      <x:c r="F395" t="str">
        <x:v>ACEPTADO</x:v>
      </x:c>
    </x:row>
    <x:row r="396">
      <x:c r="A396" t="str">
        <x:v>2017-09</x:v>
      </x:c>
      <x:c r="B396" t="n">
        <x:v>30</x:v>
      </x:c>
      <x:c r="C396" t="n">
        <x:v>30</x:v>
      </x:c>
      <x:c r="D396" s="79" t="n">
        <x:v>1</x:v>
      </x:c>
      <x:c r="E396" s="82" t="n">
        <x:v>225</x:v>
      </x:c>
      <x:c r="F396" t="str">
        <x:v>ACEPTADO</x:v>
      </x:c>
    </x:row>
    <x:row r="397">
      <x:c r="A397" t="str">
        <x:v>2017-10</x:v>
      </x:c>
      <x:c r="B397" t="n">
        <x:v>31</x:v>
      </x:c>
      <x:c r="C397" t="n">
        <x:v>31</x:v>
      </x:c>
      <x:c r="D397" s="79" t="n">
        <x:v>1</x:v>
      </x:c>
      <x:c r="E397" s="82" t="n">
        <x:v>183</x:v>
      </x:c>
      <x:c r="F397" t="str">
        <x:v>ACEPTADO</x:v>
      </x:c>
    </x:row>
    <x:row r="398">
      <x:c r="A398" t="str">
        <x:v>2017-11</x:v>
      </x:c>
      <x:c r="B398" t="n">
        <x:v>30</x:v>
      </x:c>
      <x:c r="C398" t="n">
        <x:v>30</x:v>
      </x:c>
      <x:c r="D398" s="79" t="n">
        <x:v>1</x:v>
      </x:c>
      <x:c r="E398" s="82" t="n">
        <x:v>20</x:v>
      </x:c>
      <x:c r="F398" t="str">
        <x:v>ACEPTADO</x:v>
      </x:c>
    </x:row>
    <x:row r="399">
      <x:c r="A399" t="str">
        <x:v>2017-12</x:v>
      </x:c>
      <x:c r="B399" t="n">
        <x:v>31</x:v>
      </x:c>
      <x:c r="C399" t="n">
        <x:v>31</x:v>
      </x:c>
      <x:c r="D399" s="79" t="n">
        <x:v>1</x:v>
      </x:c>
      <x:c r="E399" s="82" t="n">
        <x:v>264</x:v>
      </x:c>
      <x:c r="F399" t="str">
        <x:v>ACEPTADO</x:v>
      </x:c>
    </x:row>
    <x:row r="400">
      <x:c r="A400" t="str">
        <x:v>2018-01</x:v>
      </x:c>
      <x:c r="B400" t="n">
        <x:v>31</x:v>
      </x:c>
      <x:c r="C400" t="n">
        <x:v>31</x:v>
      </x:c>
      <x:c r="D400" s="79" t="n">
        <x:v>1</x:v>
      </x:c>
      <x:c r="E400" s="82" t="n">
        <x:v>517</x:v>
      </x:c>
      <x:c r="F400" t="str">
        <x:v>ACEPTADO</x:v>
      </x:c>
    </x:row>
    <x:row r="401">
      <x:c r="A401" t="str">
        <x:v>2018-02</x:v>
      </x:c>
      <x:c r="B401" t="n">
        <x:v>28</x:v>
      </x:c>
      <x:c r="C401" t="n">
        <x:v>28</x:v>
      </x:c>
      <x:c r="D401" s="79" t="n">
        <x:v>1</x:v>
      </x:c>
      <x:c r="E401" s="82" t="n">
        <x:v>259</x:v>
      </x:c>
      <x:c r="F401" t="str">
        <x:v>ACEPTADO</x:v>
      </x:c>
    </x:row>
    <x:row r="402">
      <x:c r="A402" t="str">
        <x:v>2018-03</x:v>
      </x:c>
      <x:c r="B402" t="n">
        <x:v>31</x:v>
      </x:c>
      <x:c r="C402" t="n">
        <x:v>31</x:v>
      </x:c>
      <x:c r="D402" s="79" t="n">
        <x:v>1</x:v>
      </x:c>
      <x:c r="E402" s="82" t="n">
        <x:v>247</x:v>
      </x:c>
      <x:c r="F402" t="str">
        <x:v>ACEPTADO</x:v>
      </x:c>
    </x:row>
    <x:row r="403">
      <x:c r="A403" t="str">
        <x:v>2018-04</x:v>
      </x:c>
      <x:c r="B403" t="n">
        <x:v>30</x:v>
      </x:c>
      <x:c r="C403" t="n">
        <x:v>30</x:v>
      </x:c>
      <x:c r="D403" s="79" t="n">
        <x:v>1</x:v>
      </x:c>
      <x:c r="E403" s="82" t="n">
        <x:v>240</x:v>
      </x:c>
      <x:c r="F403" t="str">
        <x:v>ACEPTADO</x:v>
      </x:c>
    </x:row>
    <x:row r="404">
      <x:c r="A404" t="str">
        <x:v>2018-05</x:v>
      </x:c>
      <x:c r="B404" t="n">
        <x:v>31</x:v>
      </x:c>
      <x:c r="C404" t="n">
        <x:v>31</x:v>
      </x:c>
      <x:c r="D404" s="79" t="n">
        <x:v>1</x:v>
      </x:c>
      <x:c r="E404" s="82" t="n">
        <x:v>618</x:v>
      </x:c>
      <x:c r="F404" t="str">
        <x:v>ACEPTADO</x:v>
      </x:c>
    </x:row>
    <x:row r="405">
      <x:c r="A405" t="str">
        <x:v>2018-06</x:v>
      </x:c>
      <x:c r="B405" t="n">
        <x:v>30</x:v>
      </x:c>
      <x:c r="C405" t="n">
        <x:v>30</x:v>
      </x:c>
      <x:c r="D405" s="79" t="n">
        <x:v>1</x:v>
      </x:c>
      <x:c r="E405" s="82" t="n">
        <x:v>160</x:v>
      </x:c>
      <x:c r="F405" t="str">
        <x:v>ACEPTADO</x:v>
      </x:c>
    </x:row>
    <x:row r="406">
      <x:c r="A406" t="str">
        <x:v>2018-07</x:v>
      </x:c>
      <x:c r="B406" t="n">
        <x:v>30</x:v>
      </x:c>
      <x:c r="C406" t="n">
        <x:v>31</x:v>
      </x:c>
      <x:c r="D406" s="79" t="n">
        <x:v>0.96774</x:v>
      </x:c>
      <x:c r="E406" s="82" t="n">
        <x:v>49</x:v>
      </x:c>
      <x:c r="F406" t="str">
        <x:v>ACEPTADO</x:v>
      </x:c>
    </x:row>
    <x:row r="407">
      <x:c r="A407" t="str">
        <x:v>2018-08</x:v>
      </x:c>
      <x:c r="B407" t="n">
        <x:v>31</x:v>
      </x:c>
      <x:c r="C407" t="n">
        <x:v>31</x:v>
      </x:c>
      <x:c r="D407" s="79" t="n">
        <x:v>1</x:v>
      </x:c>
      <x:c r="E407" s="82" t="n">
        <x:v>21</x:v>
      </x:c>
      <x:c r="F407" t="str">
        <x:v>ACEPTADO</x:v>
      </x:c>
    </x:row>
    <x:row r="408">
      <x:c r="A408" t="str">
        <x:v>2018-09</x:v>
      </x:c>
      <x:c r="B408" t="n">
        <x:v>30</x:v>
      </x:c>
      <x:c r="C408" t="n">
        <x:v>30</x:v>
      </x:c>
      <x:c r="D408" s="79" t="n">
        <x:v>1</x:v>
      </x:c>
      <x:c r="E408" s="82" t="n">
        <x:v>66</x:v>
      </x:c>
      <x:c r="F408" t="str">
        <x:v>ACEPTADO</x:v>
      </x:c>
    </x:row>
    <x:row r="409">
      <x:c r="A409" t="str">
        <x:v>2018-10</x:v>
      </x:c>
      <x:c r="B409" t="n">
        <x:v>30</x:v>
      </x:c>
      <x:c r="C409" t="n">
        <x:v>31</x:v>
      </x:c>
      <x:c r="D409" s="79" t="n">
        <x:v>0.96774</x:v>
      </x:c>
      <x:c r="E409" s="82" t="n">
        <x:v>85</x:v>
      </x:c>
      <x:c r="F409" t="str">
        <x:v>ACEPTADO</x:v>
      </x:c>
    </x:row>
    <x:row r="410">
      <x:c r="A410" t="str">
        <x:v>2018-11</x:v>
      </x:c>
      <x:c r="B410" t="n">
        <x:v>29</x:v>
      </x:c>
      <x:c r="C410" t="n">
        <x:v>30</x:v>
      </x:c>
      <x:c r="D410" s="79" t="n">
        <x:v>0.96667</x:v>
      </x:c>
      <x:c r="E410" s="82" t="n">
        <x:v>267</x:v>
      </x:c>
      <x:c r="F410" t="str">
        <x:v>ACEPTADO</x:v>
      </x:c>
    </x:row>
    <x:row r="411">
      <x:c r="A411" t="str">
        <x:v>2018-12</x:v>
      </x:c>
      <x:c r="B411" t="n">
        <x:v>31</x:v>
      </x:c>
      <x:c r="C411" t="n">
        <x:v>31</x:v>
      </x:c>
      <x:c r="D411" s="79" t="n">
        <x:v>1</x:v>
      </x:c>
      <x:c r="E411" s="82" t="n">
        <x:v>204</x:v>
      </x:c>
      <x:c r="F411" t="str">
        <x:v>ACEPTADO</x:v>
      </x:c>
    </x:row>
    <x:row r="412">
      <x:c r="A412" t="str">
        <x:v>2019-01</x:v>
      </x:c>
      <x:c r="B412" t="n">
        <x:v>31</x:v>
      </x:c>
      <x:c r="C412" t="n">
        <x:v>31</x:v>
      </x:c>
      <x:c r="D412" s="79" t="n">
        <x:v>1</x:v>
      </x:c>
      <x:c r="E412" s="82" t="n">
        <x:v>269</x:v>
      </x:c>
      <x:c r="F412" t="str">
        <x:v>ACEPTADO</x:v>
      </x:c>
    </x:row>
    <x:row r="413">
      <x:c r="A413" t="str">
        <x:v>2019-02</x:v>
      </x:c>
      <x:c r="B413" t="n">
        <x:v>28</x:v>
      </x:c>
      <x:c r="C413" t="n">
        <x:v>28</x:v>
      </x:c>
      <x:c r="D413" s="79" t="n">
        <x:v>1</x:v>
      </x:c>
      <x:c r="E413" s="82" t="n">
        <x:v>477</x:v>
      </x:c>
      <x:c r="F413" t="str">
        <x:v>ACEPTADO</x:v>
      </x:c>
    </x:row>
    <x:row r="414">
      <x:c r="A414" t="str">
        <x:v>2019-03</x:v>
      </x:c>
      <x:c r="B414" t="n">
        <x:v>31</x:v>
      </x:c>
      <x:c r="C414" t="n">
        <x:v>31</x:v>
      </x:c>
      <x:c r="D414" s="79" t="n">
        <x:v>1</x:v>
      </x:c>
      <x:c r="E414" s="82" t="n">
        <x:v>212</x:v>
      </x:c>
      <x:c r="F414" t="str">
        <x:v>ACEPTADO</x:v>
      </x:c>
    </x:row>
    <x:row r="415">
      <x:c r="A415" t="str">
        <x:v>2019-04</x:v>
      </x:c>
      <x:c r="B415" t="n">
        <x:v>29</x:v>
      </x:c>
      <x:c r="C415" t="n">
        <x:v>30</x:v>
      </x:c>
      <x:c r="D415" s="79" t="n">
        <x:v>0.96667</x:v>
      </x:c>
      <x:c r="E415" s="82" t="n">
        <x:v>294</x:v>
      </x:c>
      <x:c r="F415" t="str">
        <x:v>ACEPTADO</x:v>
      </x:c>
    </x:row>
    <x:row r="416">
      <x:c r="A416" t="str">
        <x:v>2019-05</x:v>
      </x:c>
      <x:c r="B416" t="n">
        <x:v>26</x:v>
      </x:c>
      <x:c r="C416" t="n">
        <x:v>31</x:v>
      </x:c>
      <x:c r="D416" s="79" t="n">
        <x:v>0.83871</x:v>
      </x:c>
      <x:c r="E416" s="82" t="n">
        <x:v>876</x:v>
      </x:c>
      <x:c r="F416" t="str">
        <x:v>EXCLUIR</x:v>
      </x:c>
    </x:row>
    <x:row r="417">
      <x:c r="A417" t="str">
        <x:v>2019-08</x:v>
      </x:c>
      <x:c r="B417" t="n">
        <x:v>31</x:v>
      </x:c>
      <x:c r="C417" t="n">
        <x:v>31</x:v>
      </x:c>
      <x:c r="D417" s="79" t="n">
        <x:v>1</x:v>
      </x:c>
      <x:c r="E417" s="82" t="n">
        <x:v>86</x:v>
      </x:c>
      <x:c r="F417" t="str">
        <x:v>ACEPTADO</x:v>
      </x:c>
    </x:row>
    <x:row r="418">
      <x:c r="A418" t="str">
        <x:v>2019-09</x:v>
      </x:c>
      <x:c r="B418" t="n">
        <x:v>30</x:v>
      </x:c>
      <x:c r="C418" t="n">
        <x:v>30</x:v>
      </x:c>
      <x:c r="D418" s="79" t="n">
        <x:v>1</x:v>
      </x:c>
      <x:c r="E418" s="82" t="n">
        <x:v>146</x:v>
      </x:c>
      <x:c r="F418" t="str">
        <x:v>ACEPTADO</x:v>
      </x:c>
    </x:row>
    <x:row r="419">
      <x:c r="A419" t="str">
        <x:v>2019-10</x:v>
      </x:c>
      <x:c r="B419" t="n">
        <x:v>31</x:v>
      </x:c>
      <x:c r="C419" t="n">
        <x:v>31</x:v>
      </x:c>
      <x:c r="D419" s="79" t="n">
        <x:v>1</x:v>
      </x:c>
      <x:c r="E419" s="82" t="n">
        <x:v>273</x:v>
      </x:c>
      <x:c r="F419" t="str">
        <x:v>ACEPTADO</x:v>
      </x:c>
    </x:row>
    <x:row r="420">
      <x:c r="A420" t="str">
        <x:v>2019-11</x:v>
      </x:c>
      <x:c r="B420" t="n">
        <x:v>29</x:v>
      </x:c>
      <x:c r="C420" t="n">
        <x:v>30</x:v>
      </x:c>
      <x:c r="D420" s="79" t="n">
        <x:v>0.96667</x:v>
      </x:c>
      <x:c r="E420" s="82" t="n">
        <x:v>101</x:v>
      </x:c>
      <x:c r="F420" t="str">
        <x:v>ACEPTADO</x:v>
      </x:c>
    </x:row>
    <x:row r="421">
      <x:c r="A421" t="str">
        <x:v>2019-12</x:v>
      </x:c>
      <x:c r="B421" t="n">
        <x:v>31</x:v>
      </x:c>
      <x:c r="C421" t="n">
        <x:v>31</x:v>
      </x:c>
      <x:c r="D421" s="79" t="n">
        <x:v>1</x:v>
      </x:c>
      <x:c r="E421" s="82" t="n">
        <x:v>334</x:v>
      </x:c>
      <x:c r="F421" t="str">
        <x:v>ACEPTADO</x:v>
      </x:c>
    </x:row>
    <x:row r="422">
      <x:c r="A422" t="str">
        <x:v>2020-01</x:v>
      </x:c>
      <x:c r="B422" t="n">
        <x:v>31</x:v>
      </x:c>
      <x:c r="C422" t="n">
        <x:v>31</x:v>
      </x:c>
      <x:c r="D422" s="79" t="n">
        <x:v>1</x:v>
      </x:c>
      <x:c r="E422" s="82" t="n">
        <x:v>477</x:v>
      </x:c>
      <x:c r="F422" t="str">
        <x:v>ACEPTADO</x:v>
      </x:c>
    </x:row>
    <x:row r="423">
      <x:c r="A423" t="str">
        <x:v>2020-02</x:v>
      </x:c>
      <x:c r="B423" t="n">
        <x:v>29</x:v>
      </x:c>
      <x:c r="C423" t="n">
        <x:v>29</x:v>
      </x:c>
      <x:c r="D423" s="79" t="n">
        <x:v>1</x:v>
      </x:c>
      <x:c r="E423" s="82" t="n">
        <x:v>245</x:v>
      </x:c>
      <x:c r="F423" t="str">
        <x:v>ACEPTADO</x:v>
      </x:c>
    </x:row>
    <x:row r="424">
      <x:c r="A424" t="str">
        <x:v>2020-03</x:v>
      </x:c>
      <x:c r="B424" t="n">
        <x:v>30</x:v>
      </x:c>
      <x:c r="C424" t="n">
        <x:v>31</x:v>
      </x:c>
      <x:c r="D424" s="79" t="n">
        <x:v>0.96774</x:v>
      </x:c>
      <x:c r="E424" s="82" t="n">
        <x:v>340</x:v>
      </x:c>
      <x:c r="F424" t="str">
        <x:v>ACEPTADO</x:v>
      </x:c>
    </x:row>
    <x:row r="425">
      <x:c r="A425" t="str">
        <x:v>2020-04</x:v>
      </x:c>
      <x:c r="B425" t="n">
        <x:v>30</x:v>
      </x:c>
      <x:c r="C425" t="n">
        <x:v>30</x:v>
      </x:c>
      <x:c r="D425" s="79" t="n">
        <x:v>1</x:v>
      </x:c>
      <x:c r="E425" s="82" t="n">
        <x:v>269</x:v>
      </x:c>
      <x:c r="F425" t="str">
        <x:v>ACEPTADO</x:v>
      </x:c>
    </x:row>
    <x:row r="426">
      <x:c r="A426" t="str">
        <x:v>2020-05</x:v>
      </x:c>
      <x:c r="B426" t="n">
        <x:v>31</x:v>
      </x:c>
      <x:c r="C426" t="n">
        <x:v>31</x:v>
      </x:c>
      <x:c r="D426" s="79" t="n">
        <x:v>1</x:v>
      </x:c>
      <x:c r="E426" s="82" t="n">
        <x:v>506</x:v>
      </x:c>
      <x:c r="F426" t="str">
        <x:v>ACEPTADO</x:v>
      </x:c>
    </x:row>
    <x:row r="427">
      <x:c r="A427" t="str">
        <x:v>2020-06</x:v>
      </x:c>
      <x:c r="B427" t="n">
        <x:v>30</x:v>
      </x:c>
      <x:c r="C427" t="n">
        <x:v>30</x:v>
      </x:c>
      <x:c r="D427" s="79" t="n">
        <x:v>1</x:v>
      </x:c>
      <x:c r="E427" s="82" t="n">
        <x:v>416</x:v>
      </x:c>
      <x:c r="F427" t="str">
        <x:v>ACEPTADO</x:v>
      </x:c>
    </x:row>
    <x:row r="428">
      <x:c r="A428" t="str">
        <x:v>2020-07</x:v>
      </x:c>
      <x:c r="B428" t="n">
        <x:v>31</x:v>
      </x:c>
      <x:c r="C428" t="n">
        <x:v>31</x:v>
      </x:c>
      <x:c r="D428" s="79" t="n">
        <x:v>1</x:v>
      </x:c>
      <x:c r="E428" s="82" t="n">
        <x:v>390</x:v>
      </x:c>
      <x:c r="F428" t="str">
        <x:v>ACEPTADO</x:v>
      </x:c>
    </x:row>
    <x:row r="429">
      <x:c r="A429" t="str">
        <x:v>2020-08</x:v>
      </x:c>
      <x:c r="B429" t="n">
        <x:v>30</x:v>
      </x:c>
      <x:c r="C429" t="n">
        <x:v>31</x:v>
      </x:c>
      <x:c r="D429" s="79" t="n">
        <x:v>0.96774</x:v>
      </x:c>
      <x:c r="E429" s="82" t="n">
        <x:v>87</x:v>
      </x:c>
      <x:c r="F429" t="str">
        <x:v>ACEPTADO</x:v>
      </x:c>
    </x:row>
    <x:row r="430">
      <x:c r="A430" t="str">
        <x:v>2020-09</x:v>
      </x:c>
      <x:c r="B430" t="n">
        <x:v>30</x:v>
      </x:c>
      <x:c r="C430" t="n">
        <x:v>30</x:v>
      </x:c>
      <x:c r="D430" s="79" t="n">
        <x:v>1</x:v>
      </x:c>
      <x:c r="E430" s="82" t="n">
        <x:v>77</x:v>
      </x:c>
      <x:c r="F430" t="str">
        <x:v>ACEPTADO</x:v>
      </x:c>
    </x:row>
    <x:row r="431">
      <x:c r="A431" t="str">
        <x:v>2020-10</x:v>
      </x:c>
      <x:c r="B431" t="n">
        <x:v>31</x:v>
      </x:c>
      <x:c r="C431" t="n">
        <x:v>31</x:v>
      </x:c>
      <x:c r="D431" s="79" t="n">
        <x:v>1</x:v>
      </x:c>
      <x:c r="E431" s="82" t="n">
        <x:v>119</x:v>
      </x:c>
      <x:c r="F431" t="str">
        <x:v>ACEPTADO</x:v>
      </x:c>
    </x:row>
    <x:row r="432">
      <x:c r="A432" t="str">
        <x:v>2020-11</x:v>
      </x:c>
      <x:c r="B432" t="n">
        <x:v>30</x:v>
      </x:c>
      <x:c r="C432" t="n">
        <x:v>30</x:v>
      </x:c>
      <x:c r="D432" s="79" t="n">
        <x:v>1</x:v>
      </x:c>
      <x:c r="E432" s="82" t="n">
        <x:v>37</x:v>
      </x:c>
      <x:c r="F432" t="str">
        <x:v>ACEPTADO</x:v>
      </x:c>
    </x:row>
    <x:row r="433">
      <x:c r="A433" t="str">
        <x:v>2020-12</x:v>
      </x:c>
      <x:c r="B433" t="n">
        <x:v>31</x:v>
      </x:c>
      <x:c r="C433" t="n">
        <x:v>31</x:v>
      </x:c>
      <x:c r="D433" s="79" t="n">
        <x:v>1</x:v>
      </x:c>
      <x:c r="E433" s="82" t="n">
        <x:v>202</x:v>
      </x:c>
      <x:c r="F433" t="str">
        <x:v>ACEPTADO</x:v>
      </x:c>
    </x:row>
    <x:row r="434">
      <x:c r="A434" t="str">
        <x:v>2021-01</x:v>
      </x:c>
      <x:c r="B434" t="n">
        <x:v>31</x:v>
      </x:c>
      <x:c r="C434" t="n">
        <x:v>31</x:v>
      </x:c>
      <x:c r="D434" s="79" t="n">
        <x:v>1</x:v>
      </x:c>
      <x:c r="E434" s="82" t="n">
        <x:v>451</x:v>
      </x:c>
      <x:c r="F434" t="str">
        <x:v>ACEPTADO</x:v>
      </x:c>
    </x:row>
    <x:row r="435">
      <x:c r="A435" t="str">
        <x:v>2021-02</x:v>
      </x:c>
      <x:c r="B435" t="n">
        <x:v>28</x:v>
      </x:c>
      <x:c r="C435" t="n">
        <x:v>28</x:v>
      </x:c>
      <x:c r="D435" s="79" t="n">
        <x:v>1</x:v>
      </x:c>
      <x:c r="E435" s="82" t="n">
        <x:v>183</x:v>
      </x:c>
      <x:c r="F435" t="str">
        <x:v>ACEPTADO</x:v>
      </x:c>
    </x:row>
    <x:row r="436">
      <x:c r="A436" t="str">
        <x:v>2021-03</x:v>
      </x:c>
      <x:c r="B436" t="n">
        <x:v>31</x:v>
      </x:c>
      <x:c r="C436" t="n">
        <x:v>31</x:v>
      </x:c>
      <x:c r="D436" s="79" t="n">
        <x:v>1</x:v>
      </x:c>
      <x:c r="E436" s="82" t="n">
        <x:v>500</x:v>
      </x:c>
      <x:c r="F436" t="str">
        <x:v>ACEPTADO</x:v>
      </x:c>
    </x:row>
    <x:row r="437">
      <x:c r="A437" t="str">
        <x:v>2021-04</x:v>
      </x:c>
      <x:c r="B437" t="n">
        <x:v>30</x:v>
      </x:c>
      <x:c r="C437" t="n">
        <x:v>30</x:v>
      </x:c>
      <x:c r="D437" s="79" t="n">
        <x:v>1</x:v>
      </x:c>
      <x:c r="E437" s="82" t="n">
        <x:v>325</x:v>
      </x:c>
      <x:c r="F437" t="str">
        <x:v>ACEPTADO</x:v>
      </x:c>
    </x:row>
    <x:row r="438">
      <x:c r="A438" t="str">
        <x:v>2021-05</x:v>
      </x:c>
      <x:c r="B438" t="n">
        <x:v>31</x:v>
      </x:c>
      <x:c r="C438" t="n">
        <x:v>31</x:v>
      </x:c>
      <x:c r="D438" s="79" t="n">
        <x:v>1</x:v>
      </x:c>
      <x:c r="E438" s="82" t="n">
        <x:v>219</x:v>
      </x:c>
      <x:c r="F438" t="str">
        <x:v>ACEPTADO</x:v>
      </x:c>
    </x:row>
    <x:row r="439">
      <x:c r="A439" t="str">
        <x:v>2021-06</x:v>
      </x:c>
      <x:c r="B439" t="n">
        <x:v>30</x:v>
      </x:c>
      <x:c r="C439" t="n">
        <x:v>30</x:v>
      </x:c>
      <x:c r="D439" s="79" t="n">
        <x:v>1</x:v>
      </x:c>
      <x:c r="E439" s="82" t="n">
        <x:v>296</x:v>
      </x:c>
      <x:c r="F439" t="str">
        <x:v>ACEPTADO</x:v>
      </x:c>
    </x:row>
    <x:row r="440">
      <x:c r="A440" t="str">
        <x:v>2021-07</x:v>
      </x:c>
      <x:c r="B440" t="n">
        <x:v>31</x:v>
      </x:c>
      <x:c r="C440" t="n">
        <x:v>31</x:v>
      </x:c>
      <x:c r="D440" s="79" t="n">
        <x:v>1</x:v>
      </x:c>
      <x:c r="E440" s="82" t="n">
        <x:v>77</x:v>
      </x:c>
      <x:c r="F440" t="str">
        <x:v>ACEPTADO</x:v>
      </x:c>
    </x:row>
    <x:row r="441">
      <x:c r="A441" t="str">
        <x:v>2021-08</x:v>
      </x:c>
      <x:c r="B441" t="n">
        <x:v>31</x:v>
      </x:c>
      <x:c r="C441" t="n">
        <x:v>31</x:v>
      </x:c>
      <x:c r="D441" s="79" t="n">
        <x:v>1</x:v>
      </x:c>
      <x:c r="E441" s="82" t="n">
        <x:v>216</x:v>
      </x:c>
      <x:c r="F441" t="str">
        <x:v>ACEPTADO</x:v>
      </x:c>
    </x:row>
    <x:row r="442">
      <x:c r="A442" t="str">
        <x:v>2021-09</x:v>
      </x:c>
      <x:c r="B442" t="n">
        <x:v>30</x:v>
      </x:c>
      <x:c r="C442" t="n">
        <x:v>30</x:v>
      </x:c>
      <x:c r="D442" s="79" t="n">
        <x:v>1</x:v>
      </x:c>
      <x:c r="E442" s="82" t="n">
        <x:v>258</x:v>
      </x:c>
      <x:c r="F442" t="str">
        <x:v>ACEPTADO</x:v>
      </x:c>
    </x:row>
    <x:row r="443">
      <x:c r="A443" t="str">
        <x:v>2021-10</x:v>
      </x:c>
      <x:c r="B443" t="n">
        <x:v>31</x:v>
      </x:c>
      <x:c r="C443" t="n">
        <x:v>31</x:v>
      </x:c>
      <x:c r="D443" s="79" t="n">
        <x:v>1</x:v>
      </x:c>
      <x:c r="E443" s="82" t="n">
        <x:v>158</x:v>
      </x:c>
      <x:c r="F443" t="str">
        <x:v>ACEPTADO</x:v>
      </x:c>
    </x:row>
    <x:row r="444">
      <x:c r="A444" t="str">
        <x:v>2021-11</x:v>
      </x:c>
      <x:c r="B444" t="n">
        <x:v>30</x:v>
      </x:c>
      <x:c r="C444" t="n">
        <x:v>30</x:v>
      </x:c>
      <x:c r="D444" s="79" t="n">
        <x:v>1</x:v>
      </x:c>
      <x:c r="E444" s="82" t="n">
        <x:v>50</x:v>
      </x:c>
      <x:c r="F444" t="str">
        <x:v>ACEPTADO</x:v>
      </x:c>
    </x:row>
    <x:row r="445">
      <x:c r="A445" t="str">
        <x:v>2021-12</x:v>
      </x:c>
      <x:c r="B445" t="n">
        <x:v>31</x:v>
      </x:c>
      <x:c r="C445" t="n">
        <x:v>31</x:v>
      </x:c>
      <x:c r="D445" s="79" t="n">
        <x:v>1</x:v>
      </x:c>
      <x:c r="E445" s="82" t="n">
        <x:v>258</x:v>
      </x:c>
      <x:c r="F445" t="str">
        <x:v>ACEPTADO</x:v>
      </x:c>
    </x:row>
    <x:row r="446">
      <x:c r="A446" t="str">
        <x:v>2022-01</x:v>
      </x:c>
      <x:c r="B446" t="n">
        <x:v>30</x:v>
      </x:c>
      <x:c r="C446" t="n">
        <x:v>31</x:v>
      </x:c>
      <x:c r="D446" s="79" t="n">
        <x:v>0.96774</x:v>
      </x:c>
      <x:c r="E446" s="82" t="n">
        <x:v>404</x:v>
      </x:c>
      <x:c r="F446" t="str">
        <x:v>ACEPTADO</x:v>
      </x:c>
    </x:row>
    <x:row r="447">
      <x:c r="A447" t="str">
        <x:v>2022-02</x:v>
      </x:c>
      <x:c r="B447" t="n">
        <x:v>28</x:v>
      </x:c>
      <x:c r="C447" t="n">
        <x:v>28</x:v>
      </x:c>
      <x:c r="D447" s="79" t="n">
        <x:v>1</x:v>
      </x:c>
      <x:c r="E447" s="82" t="n">
        <x:v>268</x:v>
      </x:c>
      <x:c r="F447" t="str">
        <x:v>ACEPTADO</x:v>
      </x:c>
    </x:row>
    <x:row r="448">
      <x:c r="A448" t="str">
        <x:v>2022-03</x:v>
      </x:c>
      <x:c r="B448" t="n">
        <x:v>31</x:v>
      </x:c>
      <x:c r="C448" t="n">
        <x:v>31</x:v>
      </x:c>
      <x:c r="D448" s="79" t="n">
        <x:v>1</x:v>
      </x:c>
      <x:c r="E448" s="82" t="n">
        <x:v>348</x:v>
      </x:c>
      <x:c r="F448" t="str">
        <x:v>ACEPTADO</x:v>
      </x:c>
    </x:row>
    <x:row r="449">
      <x:c r="A449" t="str">
        <x:v>2022-04</x:v>
      </x:c>
      <x:c r="B449" t="n">
        <x:v>30</x:v>
      </x:c>
      <x:c r="C449" t="n">
        <x:v>30</x:v>
      </x:c>
      <x:c r="D449" s="79" t="n">
        <x:v>1</x:v>
      </x:c>
      <x:c r="E449" s="82" t="n">
        <x:v>555</x:v>
      </x:c>
      <x:c r="F449" t="str">
        <x:v>ACEPTADO</x:v>
      </x:c>
    </x:row>
    <x:row r="450">
      <x:c r="A450" t="str">
        <x:v>2022-05</x:v>
      </x:c>
      <x:c r="B450" t="n">
        <x:v>31</x:v>
      </x:c>
      <x:c r="C450" t="n">
        <x:v>31</x:v>
      </x:c>
      <x:c r="D450" s="79" t="n">
        <x:v>1</x:v>
      </x:c>
      <x:c r="E450" s="82" t="n">
        <x:v>614</x:v>
      </x:c>
      <x:c r="F450" t="str">
        <x:v>ACEPTADO</x:v>
      </x:c>
    </x:row>
    <x:row r="451">
      <x:c r="A451" t="str">
        <x:v>2022-06</x:v>
      </x:c>
      <x:c r="B451" t="n">
        <x:v>30</x:v>
      </x:c>
      <x:c r="C451" t="n">
        <x:v>30</x:v>
      </x:c>
      <x:c r="D451" s="79" t="n">
        <x:v>1</x:v>
      </x:c>
      <x:c r="E451" s="82" t="n">
        <x:v>582</x:v>
      </x:c>
      <x:c r="F451" t="str">
        <x:v>ACEPTADO</x:v>
      </x:c>
    </x:row>
    <x:row r="452">
      <x:c r="A452" t="str">
        <x:v>2022-07</x:v>
      </x:c>
      <x:c r="B452" t="n">
        <x:v>31</x:v>
      </x:c>
      <x:c r="C452" t="n">
        <x:v>31</x:v>
      </x:c>
      <x:c r="D452" s="79" t="n">
        <x:v>1</x:v>
      </x:c>
      <x:c r="E452" s="82" t="n">
        <x:v>114</x:v>
      </x:c>
      <x:c r="F452" t="str">
        <x:v>ACEPTADO</x:v>
      </x:c>
    </x:row>
    <x:row r="453">
      <x:c r="A453" t="str">
        <x:v>2022-08</x:v>
      </x:c>
      <x:c r="B453" t="n">
        <x:v>31</x:v>
      </x:c>
      <x:c r="C453" t="n">
        <x:v>31</x:v>
      </x:c>
      <x:c r="D453" s="79" t="n">
        <x:v>1</x:v>
      </x:c>
      <x:c r="E453" s="82" t="n">
        <x:v>122</x:v>
      </x:c>
      <x:c r="F453" t="str">
        <x:v>ACEPTADO</x:v>
      </x:c>
    </x:row>
    <x:row r="454">
      <x:c r="A454" t="str">
        <x:v>2022-09</x:v>
      </x:c>
      <x:c r="B454" t="n">
        <x:v>30</x:v>
      </x:c>
      <x:c r="C454" t="n">
        <x:v>30</x:v>
      </x:c>
      <x:c r="D454" s="79" t="n">
        <x:v>1</x:v>
      </x:c>
      <x:c r="E454" s="82" t="n">
        <x:v>213</x:v>
      </x:c>
      <x:c r="F454" t="str">
        <x:v>ACEPTADO</x:v>
      </x:c>
    </x:row>
    <x:row r="455">
      <x:c r="A455" t="str">
        <x:v>2022-10</x:v>
      </x:c>
      <x:c r="B455" t="n">
        <x:v>31</x:v>
      </x:c>
      <x:c r="C455" t="n">
        <x:v>31</x:v>
      </x:c>
      <x:c r="D455" s="79" t="n">
        <x:v>1</x:v>
      </x:c>
      <x:c r="E455" s="82" t="n">
        <x:v>34</x:v>
      </x:c>
      <x:c r="F455" t="str">
        <x:v>ACEPTADO</x:v>
      </x:c>
    </x:row>
    <x:row r="456">
      <x:c r="A456" t="str">
        <x:v>2022-11</x:v>
      </x:c>
      <x:c r="B456" t="n">
        <x:v>30</x:v>
      </x:c>
      <x:c r="C456" t="n">
        <x:v>30</x:v>
      </x:c>
      <x:c r="D456" s="79" t="n">
        <x:v>1</x:v>
      </x:c>
      <x:c r="E456" s="82" t="n">
        <x:v>32</x:v>
      </x:c>
      <x:c r="F456" t="str">
        <x:v>ACEPTADO</x:v>
      </x:c>
    </x:row>
    <x:row r="457">
      <x:c r="A457" t="str">
        <x:v>2022-12</x:v>
      </x:c>
      <x:c r="B457" t="n">
        <x:v>31</x:v>
      </x:c>
      <x:c r="C457" t="n">
        <x:v>31</x:v>
      </x:c>
      <x:c r="D457" s="79" t="n">
        <x:v>1</x:v>
      </x:c>
      <x:c r="E457" s="82" t="n">
        <x:v>118</x:v>
      </x:c>
      <x:c r="F457" t="str">
        <x:v>ACEPTADO</x:v>
      </x:c>
    </x:row>
    <x:row r="458">
      <x:c r="A458" t="str">
        <x:v>2023-01</x:v>
      </x:c>
      <x:c r="B458" t="n">
        <x:v>31</x:v>
      </x:c>
      <x:c r="C458" t="n">
        <x:v>31</x:v>
      </x:c>
      <x:c r="D458" s="79" t="n">
        <x:v>1</x:v>
      </x:c>
      <x:c r="E458" s="82" t="n">
        <x:v>189</x:v>
      </x:c>
      <x:c r="F458" t="str">
        <x:v>ACEPTADO</x:v>
      </x:c>
    </x:row>
    <x:row r="459">
      <x:c r="A459" t="str">
        <x:v>2023-02</x:v>
      </x:c>
      <x:c r="B459" t="n">
        <x:v>28</x:v>
      </x:c>
      <x:c r="C459" t="n">
        <x:v>28</x:v>
      </x:c>
      <x:c r="D459" s="79" t="n">
        <x:v>1</x:v>
      </x:c>
      <x:c r="E459" s="82" t="n">
        <x:v>146</x:v>
      </x:c>
      <x:c r="F459" t="str">
        <x:v>ACEPTADO</x:v>
      </x:c>
    </x:row>
    <x:row r="460">
      <x:c r="A460" t="str">
        <x:v>2023-03</x:v>
      </x:c>
      <x:c r="B460" t="n">
        <x:v>31</x:v>
      </x:c>
      <x:c r="C460" t="n">
        <x:v>31</x:v>
      </x:c>
      <x:c r="D460" s="79" t="n">
        <x:v>1</x:v>
      </x:c>
      <x:c r="E460" s="82" t="n">
        <x:v>297</x:v>
      </x:c>
      <x:c r="F460" t="str">
        <x:v>ACEPTADO</x:v>
      </x:c>
    </x:row>
    <x:row r="461">
      <x:c r="A461" t="str">
        <x:v>2023-04</x:v>
      </x:c>
      <x:c r="B461" t="n">
        <x:v>30</x:v>
      </x:c>
      <x:c r="C461" t="n">
        <x:v>30</x:v>
      </x:c>
      <x:c r="D461" s="79" t="n">
        <x:v>1</x:v>
      </x:c>
      <x:c r="E461" s="82" t="n">
        <x:v>283</x:v>
      </x:c>
      <x:c r="F461" t="str">
        <x:v>ACEPTADO</x:v>
      </x:c>
    </x:row>
    <x:row r="462">
      <x:c r="A462" t="str">
        <x:v>2023-05</x:v>
      </x:c>
      <x:c r="B462" t="n">
        <x:v>31</x:v>
      </x:c>
      <x:c r="C462" t="n">
        <x:v>31</x:v>
      </x:c>
      <x:c r="D462" s="79" t="n">
        <x:v>1</x:v>
      </x:c>
      <x:c r="E462" s="82" t="n">
        <x:v>432</x:v>
      </x:c>
      <x:c r="F462" t="str">
        <x:v>ACEPTADO</x:v>
      </x:c>
    </x:row>
    <x:row r="463">
      <x:c r="A463" t="str">
        <x:v>2023-06</x:v>
      </x:c>
      <x:c r="B463" t="n">
        <x:v>30</x:v>
      </x:c>
      <x:c r="C463" t="n">
        <x:v>30</x:v>
      </x:c>
      <x:c r="D463" s="79" t="n">
        <x:v>1</x:v>
      </x:c>
      <x:c r="E463" s="82" t="n">
        <x:v>541</x:v>
      </x:c>
      <x:c r="F463" t="str">
        <x:v>ACEPTADO</x:v>
      </x:c>
    </x:row>
    <x:row r="464">
      <x:c r="A464" t="str">
        <x:v>2023-07</x:v>
      </x:c>
      <x:c r="B464" t="n">
        <x:v>31</x:v>
      </x:c>
      <x:c r="C464" t="n">
        <x:v>31</x:v>
      </x:c>
      <x:c r="D464" s="79" t="n">
        <x:v>1</x:v>
      </x:c>
      <x:c r="E464" s="82" t="n">
        <x:v>433</x:v>
      </x:c>
      <x:c r="F464" t="str">
        <x:v>ACEPTADO</x:v>
      </x:c>
    </x:row>
    <x:row r="465">
      <x:c r="A465" t="str">
        <x:v>2023-08</x:v>
      </x:c>
      <x:c r="B465" t="n">
        <x:v>31</x:v>
      </x:c>
      <x:c r="C465" t="n">
        <x:v>31</x:v>
      </x:c>
      <x:c r="D465" s="79" t="n">
        <x:v>1</x:v>
      </x:c>
      <x:c r="E465" s="82" t="n">
        <x:v>217</x:v>
      </x:c>
      <x:c r="F465" t="str">
        <x:v>ACEPTADO</x:v>
      </x:c>
    </x:row>
    <x:row r="466">
      <x:c r="A466" t="str">
        <x:v>2023-09</x:v>
      </x:c>
      <x:c r="B466" t="n">
        <x:v>30</x:v>
      </x:c>
      <x:c r="C466" t="n">
        <x:v>30</x:v>
      </x:c>
      <x:c r="D466" s="79" t="n">
        <x:v>1</x:v>
      </x:c>
      <x:c r="E466" s="82" t="n">
        <x:v>557</x:v>
      </x:c>
      <x:c r="F466" t="str">
        <x:v>ACEPTADO</x:v>
      </x:c>
    </x:row>
    <x:row r="467">
      <x:c r="A467" t="str">
        <x:v>2023-10</x:v>
      </x:c>
      <x:c r="B467" t="n">
        <x:v>20</x:v>
      </x:c>
      <x:c r="C467" t="n">
        <x:v>31</x:v>
      </x:c>
      <x:c r="D467" s="79" t="n">
        <x:v>0.64516</x:v>
      </x:c>
      <x:c r="E467" s="82" t="n">
        <x:v>1479</x:v>
      </x:c>
      <x:c r="F467" t="str">
        <x:v>EXCLUIR</x:v>
      </x:c>
    </x:row>
    <x:row r="468">
      <x:c r="A468" t="str">
        <x:v>2023-11</x:v>
      </x:c>
      <x:c r="B468" t="n">
        <x:v>29</x:v>
      </x:c>
      <x:c r="C468" t="n">
        <x:v>30</x:v>
      </x:c>
      <x:c r="D468" s="79" t="n">
        <x:v>0.96667</x:v>
      </x:c>
      <x:c r="E468" s="82" t="n">
        <x:v>652</x:v>
      </x:c>
      <x:c r="F468" t="str">
        <x:v>ACEPTADO</x:v>
      </x:c>
    </x:row>
    <x:row r="469">
      <x:c r="A469" t="str">
        <x:v>2023-12</x:v>
      </x:c>
      <x:c r="B469" t="n">
        <x:v>30</x:v>
      </x:c>
      <x:c r="C469" t="n">
        <x:v>31</x:v>
      </x:c>
      <x:c r="D469" s="79" t="n">
        <x:v>0.96774</x:v>
      </x:c>
      <x:c r="E469" s="82" t="n">
        <x:v>750</x:v>
      </x:c>
      <x:c r="F469" t="str">
        <x:v>ACEPTADO</x:v>
      </x:c>
    </x:row>
    <x:row r="470">
      <x:c r="A470" t="str">
        <x:v>2024-01</x:v>
      </x:c>
      <x:c r="B470" t="n">
        <x:v>31</x:v>
      </x:c>
      <x:c r="C470" t="n">
        <x:v>31</x:v>
      </x:c>
      <x:c r="D470" s="79" t="n">
        <x:v>1</x:v>
      </x:c>
      <x:c r="E470" s="82" t="n">
        <x:v>582</x:v>
      </x:c>
      <x:c r="F470" t="str">
        <x:v>ACEPTADO</x:v>
      </x:c>
    </x:row>
    <x:row r="471">
      <x:c r="A471" t="str">
        <x:v>2024-02</x:v>
      </x:c>
      <x:c r="B471" t="n">
        <x:v>27</x:v>
      </x:c>
      <x:c r="C471" t="n">
        <x:v>29</x:v>
      </x:c>
      <x:c r="D471" s="79" t="n">
        <x:v>0.93103</x:v>
      </x:c>
      <x:c r="E471" s="82" t="n">
        <x:v>1175</x:v>
      </x:c>
      <x:c r="F471" t="str">
        <x:v>ACEPTADO</x:v>
      </x:c>
    </x:row>
    <x:row r="472">
      <x:c r="A472" t="str">
        <x:v>2024-03</x:v>
      </x:c>
      <x:c r="B472" t="n">
        <x:v>31</x:v>
      </x:c>
      <x:c r="C472" t="n">
        <x:v>31</x:v>
      </x:c>
      <x:c r="D472" s="79" t="n">
        <x:v>1</x:v>
      </x:c>
      <x:c r="E472" s="82" t="n">
        <x:v>784</x:v>
      </x:c>
      <x:c r="F472" t="str">
        <x:v>ACEPTADO</x:v>
      </x:c>
    </x:row>
    <x:row r="473">
      <x:c r="A473" t="str">
        <x:v>2024-04</x:v>
      </x:c>
      <x:c r="B473" t="n">
        <x:v>29</x:v>
      </x:c>
      <x:c r="C473" t="n">
        <x:v>30</x:v>
      </x:c>
      <x:c r="D473" s="79" t="n">
        <x:v>0.96667</x:v>
      </x:c>
      <x:c r="E473" s="82" t="n">
        <x:v>514</x:v>
      </x:c>
      <x:c r="F473" t="str">
        <x:v>ACEPTADO</x:v>
      </x:c>
    </x:row>
    <x:row r="474">
      <x:c r="A474" t="str">
        <x:v>2024-05</x:v>
      </x:c>
      <x:c r="B474" t="n">
        <x:v>31</x:v>
      </x:c>
      <x:c r="C474" t="n">
        <x:v>31</x:v>
      </x:c>
      <x:c r="D474" s="79" t="n">
        <x:v>1</x:v>
      </x:c>
      <x:c r="E474" s="82" t="n">
        <x:v>904</x:v>
      </x:c>
      <x:c r="F474" t="str">
        <x:v>ACEPTADO</x:v>
      </x:c>
    </x:row>
    <x:row r="475">
      <x:c r="A475" t="str">
        <x:v>2024-06</x:v>
      </x:c>
      <x:c r="B475" t="n">
        <x:v>30</x:v>
      </x:c>
      <x:c r="C475" t="n">
        <x:v>30</x:v>
      </x:c>
      <x:c r="D475" s="79" t="n">
        <x:v>1</x:v>
      </x:c>
      <x:c r="E475" s="82" t="n">
        <x:v>513</x:v>
      </x:c>
      <x:c r="F475" t="str">
        <x:v>ACEPTADO</x:v>
      </x:c>
    </x:row>
    <x:row r="476">
      <x:c r="A476" t="str">
        <x:v>2024-07</x:v>
      </x:c>
      <x:c r="B476" t="n">
        <x:v>31</x:v>
      </x:c>
      <x:c r="C476" t="n">
        <x:v>31</x:v>
      </x:c>
      <x:c r="D476" s="79" t="n">
        <x:v>1</x:v>
      </x:c>
      <x:c r="E476" s="82" t="n">
        <x:v>233</x:v>
      </x:c>
      <x:c r="F476" t="str">
        <x:v>ACEPTADO</x:v>
      </x:c>
    </x:row>
    <x:row r="477">
      <x:c r="A477" t="str">
        <x:v>2024-08</x:v>
      </x:c>
      <x:c r="B477" t="n">
        <x:v>31</x:v>
      </x:c>
      <x:c r="C477" t="n">
        <x:v>31</x:v>
      </x:c>
      <x:c r="D477" s="79" t="n">
        <x:v>1</x:v>
      </x:c>
      <x:c r="E477" s="82" t="n">
        <x:v>145</x:v>
      </x:c>
      <x:c r="F477" t="str">
        <x:v>ACEPTADO</x:v>
      </x:c>
    </x:row>
    <x:row r="478">
      <x:c r="A478" t="str">
        <x:v>2024-09</x:v>
      </x:c>
      <x:c r="B478" t="n">
        <x:v>30</x:v>
      </x:c>
      <x:c r="C478" t="n">
        <x:v>30</x:v>
      </x:c>
      <x:c r="D478" s="79" t="n">
        <x:v>1</x:v>
      </x:c>
      <x:c r="E478" s="82" t="n">
        <x:v>45</x:v>
      </x:c>
      <x:c r="F478" t="str">
        <x:v>ACEPTADO</x:v>
      </x:c>
    </x:row>
    <x:row r="479">
      <x:c r="A479" t="str">
        <x:v>2024-10</x:v>
      </x:c>
      <x:c r="B479" t="n">
        <x:v>28</x:v>
      </x:c>
      <x:c r="C479" t="n">
        <x:v>31</x:v>
      </x:c>
      <x:c r="D479" s="79" t="n">
        <x:v>0.90323</x:v>
      </x:c>
      <x:c r="E479" s="82" t="n">
        <x:v>254</x:v>
      </x:c>
      <x:c r="F479" t="str">
        <x:v>ACEPTADO</x:v>
      </x:c>
    </x:row>
    <x:row r="480">
      <x:c r="A480" t="str">
        <x:v>2024-11</x:v>
      </x:c>
      <x:c r="B480" t="n">
        <x:v>30</x:v>
      </x:c>
      <x:c r="C480" t="n">
        <x:v>30</x:v>
      </x:c>
      <x:c r="D480" s="79" t="n">
        <x:v>1</x:v>
      </x:c>
      <x:c r="E480" s="82" t="n">
        <x:v>15</x:v>
      </x:c>
      <x:c r="F480" t="str">
        <x:v>ACEPTADO</x:v>
      </x:c>
    </x:row>
    <x:row r="481">
      <x:c r="A481" t="str">
        <x:v>2024-12</x:v>
      </x:c>
      <x:c r="B481" t="n">
        <x:v>31</x:v>
      </x:c>
      <x:c r="C481" t="n">
        <x:v>31</x:v>
      </x:c>
      <x:c r="D481" s="79" t="n">
        <x:v>1</x:v>
      </x:c>
      <x:c r="E481" s="82" t="n">
        <x:v>204</x:v>
      </x:c>
      <x:c r="F481" t="str">
        <x:v>ACEPTADO</x:v>
      </x:c>
    </x:row>
    <x:row r="482">
      <x:c r="A482" t="str">
        <x:v>2025-01</x:v>
      </x:c>
      <x:c r="B482" t="n">
        <x:v>31</x:v>
      </x:c>
      <x:c r="C482" t="n">
        <x:v>31</x:v>
      </x:c>
      <x:c r="D482" s="79" t="n">
        <x:v>1</x:v>
      </x:c>
      <x:c r="E482" s="82" t="n">
        <x:v>342</x:v>
      </x:c>
      <x:c r="F482" t="str">
        <x:v>ACEPTADO</x:v>
      </x:c>
    </x:row>
    <x:row r="483">
      <x:c r="A483" t="str">
        <x:v>2025-02</x:v>
      </x:c>
      <x:c r="B483" t="n">
        <x:v>28</x:v>
      </x:c>
      <x:c r="C483" t="n">
        <x:v>28</x:v>
      </x:c>
      <x:c r="D483" s="79" t="n">
        <x:v>1</x:v>
      </x:c>
      <x:c r="E483" s="82" t="n">
        <x:v>664</x:v>
      </x:c>
      <x:c r="F483" t="str">
        <x:v>ACEPTADO</x:v>
      </x:c>
    </x:row>
    <x:row r="484">
      <x:c r="A484" t="str">
        <x:v>2025-03</x:v>
      </x:c>
      <x:c r="B484" t="n">
        <x:v>31</x:v>
      </x:c>
      <x:c r="C484" t="n">
        <x:v>31</x:v>
      </x:c>
      <x:c r="D484" s="79" t="n">
        <x:v>1</x:v>
      </x:c>
      <x:c r="E484" s="82" t="n">
        <x:v>257</x:v>
      </x:c>
      <x:c r="F484" t="str">
        <x:v>ACEPTADO</x:v>
      </x:c>
    </x:row>
    <x:row r="485">
      <x:c r="A485" t="str">
        <x:v>2025-04</x:v>
      </x:c>
      <x:c r="B485" t="n">
        <x:v>30</x:v>
      </x:c>
      <x:c r="C485" t="n">
        <x:v>30</x:v>
      </x:c>
      <x:c r="D485" s="79" t="n">
        <x:v>1</x:v>
      </x:c>
      <x:c r="E485" s="82" t="n">
        <x:v>565</x:v>
      </x:c>
      <x:c r="F485" t="str">
        <x:v>ACEPTADO</x:v>
      </x:c>
    </x:row>
    <x:row r="486">
      <x:c r="A486" t="str">
        <x:v>2025-05</x:v>
      </x:c>
      <x:c r="B486" t="n">
        <x:v>30</x:v>
      </x:c>
      <x:c r="C486" t="n">
        <x:v>31</x:v>
      </x:c>
      <x:c r="D486" s="79" t="n">
        <x:v>0.96774</x:v>
      </x:c>
      <x:c r="E486" s="82" t="n">
        <x:v>221</x:v>
      </x:c>
      <x:c r="F486" t="str">
        <x:v>ACEPTADO</x:v>
      </x:c>
    </x:row>
    <x:row r="487">
      <x:c r="A487" t="str">
        <x:v>2025-06</x:v>
      </x:c>
      <x:c r="B487" t="n">
        <x:v>30</x:v>
      </x:c>
      <x:c r="C487" t="n">
        <x:v>30</x:v>
      </x:c>
      <x:c r="D487" s="79" t="n">
        <x:v>1</x:v>
      </x:c>
      <x:c r="E487" s="82" t="n">
        <x:v>343</x:v>
      </x:c>
      <x:c r="F487" t="str">
        <x:v>ACEPTADO</x:v>
      </x:c>
    </x:row>
    <x:row r="488">
      <x:c r="A488" t="str">
        <x:v>2025-07</x:v>
      </x:c>
      <x:c r="B488" t="n">
        <x:v>30</x:v>
      </x:c>
      <x:c r="C488" t="n">
        <x:v>31</x:v>
      </x:c>
      <x:c r="D488" s="79" t="n">
        <x:v>0.96774</x:v>
      </x:c>
      <x:c r="E488" s="82" t="n">
        <x:v>250</x:v>
      </x:c>
      <x:c r="F488" t="str">
        <x:v>ACEPTADO</x:v>
      </x:c>
    </x:row>
  </x:sheetData>
  <x:mergeCells>
    <x:mergeCell ref="A1:K2"/>
    <x:mergeCell ref="A3:K3"/>
    <x:mergeCell ref="G5:K6"/>
    <x:mergeCell ref="G8:K9"/>
    <x:mergeCell ref="G12:K15"/>
  </x:mergeCells>
  <x:conditionalFormatting sqref="F6:F488">
    <x:cfRule type="expression" dxfId="2" priority="1">
      <x:formula>$F6="EXCLUIR"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9" hidden="0" customWidth="1"/>
    <x:col min="3" max="3" width="26" hidden="0" customWidth="1"/>
    <x:col min="4" max="4" width="7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7" customHeight="1">
      <x:c r="A1" s="14" t="str">
        <x:v>CONTROL DE CIERRE • REQUISITOS DE A1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 ht="27" customHeight="1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3" ht="29" customHeight="1">
      <x:c r="A3" s="15" t="str">
        <x:v>Separación explícita entre cálculos ejecutados, validación metodológica y datos pendientes</x:v>
      </x:c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</x:row>
    <x:row r="5" ht="31" customHeight="1">
      <x:c r="A5" s="53" t="str">
        <x:v>Requisito</x:v>
      </x:c>
      <x:c r="B5" s="53" t="str">
        <x:v>Estado</x:v>
      </x:c>
      <x:c r="C5" s="53" t="str">
        <x:v>Sede / referencia</x:v>
      </x:c>
      <x:c r="D5" s="53" t="str">
        <x:v>Criterio de cierre</x:v>
      </x:c>
      <x:c r="E5" s="16"/>
      <x:c r="F5" s="16"/>
      <x:c r="G5" s="16"/>
      <x:c r="H5" s="16"/>
      <x:c r="I5" s="16"/>
      <x:c r="J5" s="16"/>
    </x:row>
    <x:row r="6" ht="49" customHeight="1">
      <x:c r="A6" s="42" t="str">
        <x:v>SNHT absoluto</x:v>
      </x:c>
      <x:c r="B6" s="42" t="str">
        <x:v>REALIZADO</x:v>
      </x:c>
      <x:c r="C6" s="42" t="str">
        <x:v>Todos los XLSX con series mensuales</x:v>
      </x:c>
      <x:c r="D6" s="42" t="str">
        <x:v>53 pruebas con estimación empírica de significancia y FDR; detección exploratoria</x:v>
      </x:c>
      <x:c r="E6" s="16"/>
      <x:c r="F6" s="16"/>
      <x:c r="G6" s="16"/>
      <x:c r="H6" s="16"/>
      <x:c r="I6" s="16"/>
      <x:c r="J6" s="16"/>
    </x:row>
    <x:row r="7" ht="49" customHeight="1">
      <x:c r="A7" s="42" t="str">
        <x:v>Pettitt y Mann–Kendall</x:v>
      </x:c>
      <x:c r="B7" s="42" t="str">
        <x:v>YA EXISTÍA</x:v>
      </x:c>
      <x:c r="C7" s="42" t="str">
        <x:v>XLSX originales</x:v>
      </x:c>
      <x:c r="D7" s="42" t="str">
        <x:v>Se respetaron los resultados de entrada; no se modificaron las hojas originales</x:v>
      </x:c>
      <x:c r="E7" s="16"/>
      <x:c r="F7" s="16"/>
      <x:c r="G7" s="16"/>
      <x:c r="H7" s="16"/>
      <x:c r="I7" s="16"/>
      <x:c r="J7" s="16"/>
    </x:row>
    <x:row r="8" ht="49" customHeight="1">
      <x:c r="A8" s="42" t="str">
        <x:v>Contraste NASA–IDEAM</x:v>
      </x:c>
      <x:c r="B8" s="42" t="str">
        <x:v>REALIZADO — EXPLORATORIO</x:v>
      </x:c>
      <x:c r="C8" s="42" t="str">
        <x:v>Tumaco</x:v>
      </x:c>
      <x:c r="D8" s="42" t="str">
        <x:v>Cinco variables comunes, comparación de pares mensuales y SNHT de diferencias/razones</x:v>
      </x:c>
      <x:c r="E8" s="16"/>
      <x:c r="F8" s="16"/>
      <x:c r="G8" s="16"/>
      <x:c r="H8" s="16"/>
      <x:c r="I8" s="16"/>
      <x:c r="J8" s="16"/>
    </x:row>
    <x:row r="9" ht="49" customHeight="1">
      <x:c r="A9" s="42" t="str">
        <x:v>Contraste estacional estaciones IDEAM</x:v>
      </x:c>
      <x:c r="B9" s="42" t="str">
        <x:v>REALIZADO — DESCRIPTIVO</x:v>
      </x:c>
      <x:c r="C9" s="42" t="str">
        <x:v>Arauca</x:v>
      </x:c>
      <x:c r="D9" s="42" t="str">
        <x:v>12 promedios mensuales por estación; no verifica ruptura temporal</x:v>
      </x:c>
      <x:c r="E9" s="16"/>
      <x:c r="F9" s="16"/>
      <x:c r="G9" s="16"/>
      <x:c r="H9" s="16"/>
      <x:c r="I9" s="16"/>
      <x:c r="J9" s="16"/>
    </x:row>
    <x:row r="10" ht="49" customHeight="1">
      <x:c r="A10" s="42" t="str">
        <x:v>SNHT relativo IDEAM–IDEAM</x:v>
      </x:c>
      <x:c r="B10" s="42" t="str">
        <x:v>REALIZADO PARCIAL • TUMACO</x:v>
      </x:c>
      <x:c r="C10" s="42" t="str">
        <x:v>Tumaco: COCO EL vs Granja El Mira AUT y La Florida</x:v>
      </x:c>
      <x:c r="D10" s="42" t="str">
        <x:v>SNHT relativo y 402 pares mensuales. No hay referencia continua antes y después del quiebre de 1997.</x:v>
      </x:c>
      <x:c r="E10" s="16"/>
      <x:c r="F10" s="16"/>
      <x:c r="G10" s="16"/>
      <x:c r="H10" s="16"/>
      <x:c r="I10" s="16"/>
      <x:c r="J10" s="16"/>
    </x:row>
    <x:row r="11" ht="49" customHeight="1">
      <x:c r="A11" s="42" t="str">
        <x:v>Control de completitud mensual</x:v>
      </x:c>
      <x:c r="B11" s="42" t="str">
        <x:v>REALIZADO PARCIAL</x:v>
      </x:c>
      <x:c r="C11" s="42" t="str">
        <x:v>Precipitación IDEAM Tumaco</x:v>
      </x:c>
      <x:c r="D11" s="42" t="str">
        <x:v>En P de Tumaco se excluyen 3 de 483 meses con menos de 90% de días medidos; otras variables pendientes</x:v>
      </x:c>
      <x:c r="E11" s="16"/>
      <x:c r="F11" s="16"/>
      <x:c r="G11" s="16"/>
      <x:c r="H11" s="16"/>
      <x:c r="I11" s="16"/>
      <x:c r="J11" s="16"/>
    </x:row>
    <x:row r="12" ht="49" customHeight="1">
      <x:c r="A12" s="42" t="str">
        <x:v>Ficha de historia de estación</x:v>
      </x:c>
      <x:c r="B12" s="42" t="str">
        <x:v>FALTA</x:v>
      </x:c>
      <x:c r="C12" s="42" t="str">
        <x:v>COCO EL, Matezamuro y vecinas</x:v>
      </x:c>
      <x:c r="D12" s="42" t="str">
        <x:v>Documentar cambios de emplazamiento, instrumento, horarios, observador y calidad</x:v>
      </x:c>
      <x:c r="E12" s="16"/>
      <x:c r="F12" s="16"/>
      <x:c r="G12" s="16"/>
      <x:c r="H12" s="16"/>
      <x:c r="I12" s="16"/>
      <x:c r="J12" s="16"/>
    </x:row>
    <x:row r="13" ht="49" customHeight="1">
      <x:c r="A13" s="42" t="str">
        <x:v>Autocorrelación e independencia</x:v>
      </x:c>
      <x:c r="B13" s="42" t="str">
        <x:v>POR CONFIRMAR</x:v>
      </x:c>
      <x:c r="C13" s="42" t="str">
        <x:v>Todas las series</x:v>
      </x:c>
      <x:c r="D13" s="42" t="str">
        <x:v>Evaluar persistencia interanual, sensibilidad del bootstrap, pruebas adicionales</x:v>
      </x:c>
      <x:c r="E13" s="16"/>
      <x:c r="F13" s="16"/>
      <x:c r="G13" s="16"/>
      <x:c r="H13" s="16"/>
      <x:c r="I13" s="16"/>
      <x:c r="J13" s="16"/>
    </x:row>
    <x:row r="14" ht="49" customHeight="1">
      <x:c r="A14" s="42" t="str">
        <x:v>Homogeneidad definitiva</x:v>
      </x:c>
      <x:c r="B14" s="42" t="str">
        <x:v>PENDIENTE</x:v>
      </x:c>
      <x:c r="C14" s="42" t="str">
        <x:v>Todos los territorios</x:v>
      </x:c>
      <x:c r="D14" s="42" t="str">
        <x:v>Contraste relativo IDEAM, SNHT/Pettitt, metadatos y juicio hidrometeorológico</x:v>
      </x:c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 ht="70" customHeight="1">
      <x:c r="A17" s="69" t="str">
        <x:v>ARCHIVOS A RECUPERAR O VERIFICAR: (1) Tumaco: precipitación histórica 1994–2001 de referencias que crucen 1997, p. ej. Granja El Mira convencional [51025010], Mataje [51020040], Guayacana La [51020050]. (2) Inventario de cambios de la estación COCO EL (metadatos). (3) Arauca: el archivo Precipitación(2).xlsx contiene series diarias de Metezamuro, Villa Nueva y Aeropuerto Santiago Pérez y requiere evaluación por separado.</x:v>
      </x:c>
      <x:c r="B17" s="69"/>
      <x:c r="C17" s="69"/>
      <x:c r="D17" s="69"/>
      <x:c r="E17" s="69"/>
      <x:c r="F17" s="69"/>
      <x:c r="G17" s="69"/>
      <x:c r="H17" s="69"/>
      <x:c r="I17" s="69"/>
      <x:c r="J17" s="69"/>
    </x:row>
    <x:row r="18" ht="31" customHeight="1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</x:row>
    <x:row r="19" ht="31" customHeight="1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</x:row>
  </x:sheetData>
  <x:mergeCells>
    <x:mergeCell ref="A1:J2"/>
    <x:mergeCell ref="A3:J3"/>
    <x:mergeCell ref="A17:J19"/>
  </x:mergeCells>
  <x:conditionalFormatting sqref="B6:B14">
    <x:cfRule type="expression" dxfId="3" priority="1">
      <x:formula>LEFT($B6,5)="FALTA"</x:formula>
    </x:cfRule>
    <x:cfRule type="expression" dxfId="4" priority="2">
      <x:formula>LEFT($B6,8)="REALIZADO"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7" customHeight="1">
      <x:c r="A1" s="14" t="str">
        <x:v>METODOLOGÍA Y TRAZABILIDAD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 ht="27" customHeight="1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3" ht="29" customHeight="1">
      <x:c r="A3" s="15" t="str">
        <x:v>Protocolo reproducible a partir de excel.zip: todo resultado se calcula nuevamente sin modificar los libros originales</x:v>
      </x:c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</x:row>
    <x:row r="5" ht="68" customHeight="1">
      <x:c r="A5" s="96" t="str">
        <x:v>1. Extracción</x:v>
      </x:c>
      <x:c r="B5" s="102" t="str">
        <x:v>Se leen hojas mensuales de IDEAM y NASA POWER. Los XLSX originales se mantienen intactos. IDEAM Arauca aporta únicamente climatologías y metadatos, no series mensuales por año.</x:v>
      </x:c>
      <x:c r="C5" s="102"/>
      <x:c r="D5" s="102"/>
      <x:c r="E5" s="102"/>
      <x:c r="F5" s="102"/>
      <x:c r="G5" s="102"/>
      <x:c r="H5" s="102"/>
      <x:c r="I5" s="102"/>
      <x:c r="J5" s="102"/>
    </x:row>
    <x:row r="6" ht="68" customHeight="1">
      <x:c r="A6" s="96" t="str">
        <x:v>2. Anomalías</x:v>
      </x:c>
      <x:c r="B6" s="109" t="str">
        <x:v>Para cada mes calendario m: z=(X−media_mes_m)/desviación_mes_m. Se omiten meses con menos de 3 observaciones o varianza cero. Los meses sin datos no se imputan.</x:v>
      </x:c>
      <x:c r="C6" s="109"/>
      <x:c r="D6" s="109"/>
      <x:c r="E6" s="109"/>
      <x:c r="F6" s="109"/>
      <x:c r="G6" s="109"/>
      <x:c r="H6" s="109"/>
      <x:c r="I6" s="109"/>
      <x:c r="J6" s="109"/>
    </x:row>
    <x:row r="7" ht="68" customHeight="1">
      <x:c r="A7" s="96" t="str">
        <x:v>3. SNHT absoluto</x:v>
      </x:c>
      <x:c r="B7" s="102" t="str">
        <x:v>T(k)=k×media(z[1:k])²+(n−k)×media(z[k+1:n])², usando z estandarizada globalmente; corte=T(k) máximo. Se exige al menos 24 observaciones o 10% de la serie a cada lado.</x:v>
      </x:c>
      <x:c r="C7" s="102"/>
      <x:c r="D7" s="102"/>
      <x:c r="E7" s="102"/>
      <x:c r="F7" s="102"/>
      <x:c r="G7" s="102"/>
      <x:c r="H7" s="102"/>
      <x:c r="I7" s="102"/>
      <x:c r="J7" s="102"/>
    </x:row>
    <x:row r="8" ht="68" customHeight="1">
      <x:c r="A8" s="96" t="str">
        <x:v>4. P por bloques</x:v>
      </x:c>
      <x:c r="B8" s="109" t="str">
        <x:v>Se generan 999 permutaciones de bloques anuales completos disponibles, preservando orden de meses dentro del año; p=(1+número de Tmax simulado≥observado)/(999+1). No sustituye un análisis profundo de autocorrelación interanual.</x:v>
      </x:c>
      <x:c r="C8" s="109"/>
      <x:c r="D8" s="109"/>
      <x:c r="E8" s="109"/>
      <x:c r="F8" s="109"/>
      <x:c r="G8" s="109"/>
      <x:c r="H8" s="109"/>
      <x:c r="I8" s="109"/>
      <x:c r="J8" s="109"/>
    </x:row>
    <x:row r="9" ht="68" customHeight="1">
      <x:c r="A9" s="96" t="str">
        <x:v>5. Multiplicidad</x:v>
      </x:c>
      <x:c r="B9" s="102" t="str">
        <x:v>Corrección FDR Benjamini-Hochberg sobre 53 pruebas SNHT absolutas; y por separado sobre 5 contrastes relativos Tumaco; q&lt;0,05 indica señal estadística de tamizaje.</x:v>
      </x:c>
      <x:c r="C9" s="102"/>
      <x:c r="D9" s="102"/>
      <x:c r="E9" s="102"/>
      <x:c r="F9" s="102"/>
      <x:c r="G9" s="102"/>
      <x:c r="H9" s="102"/>
      <x:c r="I9" s="102"/>
      <x:c r="J9" s="102"/>
    </x:row>
    <x:row r="10" ht="68" customHeight="1">
      <x:c r="A10" s="96" t="str">
        <x:v>6. Contraste con NASA</x:v>
      </x:c>
      <x:c r="B10" s="109" t="str">
        <x:v>Temperaturas y HR: IDEAM−NASA. Precipitación: ln[(P_IDEAM+1mm)/(P_NASA+1mm)]. Se calculan correlación y sesgo de los meses con ambas fuentes. NASA NO es una estación IDEAM de referencia.</x:v>
      </x:c>
      <x:c r="C10" s="109"/>
      <x:c r="D10" s="109"/>
      <x:c r="E10" s="109"/>
      <x:c r="F10" s="109"/>
      <x:c r="G10" s="109"/>
      <x:c r="H10" s="109"/>
      <x:c r="I10" s="109"/>
      <x:c r="J10" s="109"/>
    </x:row>
    <x:row r="11" ht="68" customHeight="1">
      <x:c r="A11" s="96" t="str">
        <x:v>7. Arauca</x:v>
      </x:c>
      <x:c r="B11" s="102" t="str">
        <x:v>Se comparan 12 medias mensuales de precipitación de Matezamuro, Villanueva y Aeropuerto, incluyendo correlación estacional y razones de suma de promedios. Esta comparación no permite detectar años de ruptura.</x:v>
      </x:c>
      <x:c r="C11" s="102"/>
      <x:c r="D11" s="102"/>
      <x:c r="E11" s="102"/>
      <x:c r="F11" s="102"/>
      <x:c r="G11" s="102"/>
      <x:c r="H11" s="102"/>
      <x:c r="I11" s="102"/>
      <x:c r="J11" s="102"/>
    </x:row>
    <x:row r="12" ht="68" customHeight="1">
      <x:c r="A12" s="96" t="str">
        <x:v>8. Interpretación</x:v>
      </x:c>
      <x:c r="B12" s="109" t="str">
        <x:v>Un cambio significativo puede reflejar tendencias climáticas, cobertura incompleta, cambios de medición u otros factores. El análisis absoluto no establece causa. Para cerrar A1 se requiere SNHT relativo IDEAM–IDEAM, control de calidad y metadata de estaciones.</x:v>
      </x:c>
      <x:c r="C12" s="109"/>
      <x:c r="D12" s="109"/>
      <x:c r="E12" s="109"/>
      <x:c r="F12" s="109"/>
      <x:c r="G12" s="109"/>
      <x:c r="H12" s="109"/>
      <x:c r="I12" s="109"/>
      <x:c r="J12" s="109"/>
    </x:row>
    <x:row r="13" ht="68" customHeight="1">
      <x:c r="A13" s="96" t="str">
        <x:v>9. Supuestos no resueltos</x:v>
      </x:c>
      <x:c r="B13" s="102" t="str">
        <x:v>Se auditó la cobertura diaria de precipitación IDEAM Tumaco (umbral de 90%) y se repitió SNHT. Faltan equivalentes para otras variables y fichas oficiales para cambios de estación.</x:v>
      </x:c>
      <x:c r="C13" s="102"/>
      <x:c r="D13" s="102"/>
      <x:c r="E13" s="102"/>
      <x:c r="F13" s="102"/>
      <x:c r="G13" s="102"/>
      <x:c r="H13" s="102"/>
      <x:c r="I13" s="102"/>
      <x:c r="J13" s="102"/>
    </x:row>
    <x:row r="14" ht="68" customHeight="1">
      <x:c r="A14" s="96" t="str">
        <x:v>Referencia técnica</x:v>
      </x:c>
      <x:c r="B14" s="109" t="str">
        <x:v>Alexandersson H. (1986). A homogeneity test applied to precipitation data. Journal of Climatology 6(6):661–675. DOI https://doi.org/10.1002/joc.3370060607</x:v>
      </x:c>
      <x:c r="C14" s="109"/>
      <x:c r="D14" s="109"/>
      <x:c r="E14" s="109"/>
      <x:c r="F14" s="109"/>
      <x:c r="G14" s="109"/>
      <x:c r="H14" s="109"/>
      <x:c r="I14" s="109"/>
      <x:c r="J14" s="109"/>
    </x:row>
    <x:row r="15" ht="68" customHeight="1">
      <x:c r="A15" s="96" t="str">
        <x:v>Fuente IDEAM</x:v>
      </x:c>
      <x:c r="B15" s="102" t="str">
        <x:v>DHIME: https://www.ideam.gov.co/dhime (consulta y descarga pública de series hidrometeorológicas).</x:v>
      </x:c>
      <x:c r="C15" s="102"/>
      <x:c r="D15" s="102"/>
      <x:c r="E15" s="102"/>
      <x:c r="F15" s="102"/>
      <x:c r="G15" s="102"/>
      <x:c r="H15" s="102"/>
      <x:c r="I15" s="102"/>
      <x:c r="J15" s="102"/>
    </x:row>
    <x:row r="16" ht="68" customHeight="1">
      <x:c r="A16" s="96" t="str">
        <x:v>Reproducibilidad</x:v>
      </x:c>
      <x:c r="B16" s="109" t="str">
        <x:v>Código entregado: siams_a1_analisis.py (biblioteca estándar + NumPy). Ejecutar: python siams_a1_analisis.py excel.zip --out resultados_a1</x:v>
      </x:c>
      <x:c r="C16" s="109"/>
      <x:c r="D16" s="109"/>
      <x:c r="E16" s="109"/>
      <x:c r="F16" s="109"/>
      <x:c r="G16" s="109"/>
      <x:c r="H16" s="109"/>
      <x:c r="I16" s="109"/>
      <x:c r="J16" s="109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</x:row>
  </x:sheetData>
  <x:mergeCells>
    <x:mergeCell ref="A1:J2"/>
    <x:mergeCell ref="A3:J3"/>
    <x:mergeCell ref="B5:J5"/>
    <x:mergeCell ref="B6:J6"/>
    <x:mergeCell ref="B7:J7"/>
    <x:mergeCell ref="B8:J8"/>
    <x:mergeCell ref="B9:J9"/>
    <x:mergeCell ref="B10:J10"/>
    <x:mergeCell ref="B11:J11"/>
    <x:mergeCell ref="B12:J12"/>
    <x:mergeCell ref="B13:J13"/>
    <x:mergeCell ref="B14:J14"/>
    <x:mergeCell ref="B15:J15"/>
    <x:mergeCell ref="B16:J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5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23" hidden="0" customWidth="1"/>
    <x:col min="9" max="9" width="3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4" customHeight="1">
      <x:c r="A1" s="117" t="str">
        <x:v>A1 | CONTRASTE IDEAM DE PRECIPITACIÓN • TUMACO</x:v>
      </x:c>
      <x:c r="B1" s="117"/>
      <x:c r="C1" s="117"/>
      <x:c r="D1" s="117"/>
      <x:c r="E1" s="117"/>
      <x:c r="F1" s="117"/>
      <x:c r="G1" s="117"/>
      <x:c r="H1" s="117"/>
      <x:c r="I1" s="117"/>
    </x:row>
    <x:row r="2" ht="24" customHeight="1">
      <x:c r="A2" s="117"/>
      <x:c r="B2" s="117"/>
      <x:c r="C2" s="117"/>
      <x:c r="D2" s="117"/>
      <x:c r="E2" s="117"/>
      <x:c r="F2" s="117"/>
      <x:c r="G2" s="117"/>
      <x:c r="H2" s="117"/>
      <x:c r="I2" s="117"/>
    </x:row>
    <x:row r="3" ht="12" customHeight="1"/>
    <x:row r="4" ht="34" customHeight="1">
      <x:c r="A4" s="121" t="str">
        <x:v>Resultado: 2 referencias vecinas reales, contraste realizado; homogeneidad de COCO EL en 1997 NO certificada.</x:v>
      </x:c>
      <x:c r="B4" s="121"/>
      <x:c r="C4" s="121"/>
      <x:c r="D4" s="121"/>
      <x:c r="E4" s="121"/>
      <x:c r="F4" s="121"/>
      <x:c r="G4" s="121"/>
      <x:c r="H4" s="121"/>
      <x:c r="I4" s="121"/>
    </x:row>
    <x:row r="6" ht="28" customHeight="1">
      <x:c r="A6" s="124" t="str">
        <x:v>Estación de referencia</x:v>
      </x:c>
      <x:c r="B6" s="124" t="str">
        <x:v>Código IDEAM</x:v>
      </x:c>
      <x:c r="C6" s="124" t="str">
        <x:v>Distancia (km)</x:v>
      </x:c>
      <x:c r="D6" s="124" t="str">
        <x:v>Periodo recibido</x:v>
      </x:c>
      <x:c r="E6" s="124" t="str">
        <x:v>Meses comparables</x:v>
      </x:c>
      <x:c r="F6" s="124" t="str">
        <x:v>Pearson mensual</x:v>
      </x:c>
      <x:c r="G6" s="124" t="str">
        <x:v>Pearson anomalías</x:v>
      </x:c>
      <x:c r="H6" s="124" t="str">
        <x:v>SNHT relativo p</x:v>
      </x:c>
      <x:c r="I6" s="124" t="str">
        <x:v>Evaluación</x:v>
      </x:c>
    </x:row>
    <x:row r="7" ht="37" customHeight="1">
      <x:c r="A7" s="128" t="str">
        <x:v>GRANJA EL MIRA</x:v>
      </x:c>
      <x:c r="B7" s="128" t="n">
        <x:v>51025090</x:v>
      </x:c>
      <x:c r="C7" s="129" t="n">
        <x:v>11.82</x:v>
      </x:c>
      <x:c r="D7" s="128" t="str">
        <x:v>2000-01 a 2025-12</x:v>
      </x:c>
      <x:c r="E7" s="128" t="n">
        <x:v>291</x:v>
      </x:c>
      <x:c r="F7" s="130" t="n">
        <x:v>0.7312</x:v>
      </x:c>
      <x:c r="G7" s="130" t="n">
        <x:v>0.5931</x:v>
      </x:c>
      <x:c r="H7" s="130" t="n">
        <x:v>0.095</x:v>
      </x:c>
      <x:c r="I7" s="128" t="str">
        <x:v>Contraste PARCIAL: solo después de 1997</x:v>
      </x:c>
    </x:row>
    <x:row r="8" ht="37" customHeight="1">
      <x:c r="A8" s="128" t="str">
        <x:v>AEROPUERTO LA FLORIDA</x:v>
      </x:c>
      <x:c r="B8" s="128" t="n">
        <x:v>51035010</x:v>
      </x:c>
      <x:c r="C8" s="129" t="n">
        <x:v>23.94</x:v>
      </x:c>
      <x:c r="D8" s="128" t="str">
        <x:v>1976-01 a 1995-10</x:v>
      </x:c>
      <x:c r="E8" s="128" t="n">
        <x:v>111</x:v>
      </x:c>
      <x:c r="F8" s="130" t="n">
        <x:v>0.5129</x:v>
      </x:c>
      <x:c r="G8" s="130" t="n">
        <x:v>0.251</x:v>
      </x:c>
      <x:c r="H8" s="130" t="n">
        <x:v>0.08</x:v>
      </x:c>
      <x:c r="I8" s="128" t="str">
        <x:v>Contraste PARCIAL: solo antes de 1997</x:v>
      </x:c>
    </x:row>
    <x:row r="10" ht="23" customHeight="1">
      <x:c r="A10" s="132" t="str">
        <x:v>INTERPRETACIÓN Y ALCANCE</x:v>
      </x:c>
      <x:c r="B10" s="132"/>
      <x:c r="C10" s="132"/>
      <x:c r="D10" s="132"/>
      <x:c r="E10" s="132"/>
      <x:c r="F10" s="132"/>
      <x:c r="G10" s="132"/>
      <x:c r="H10" s="132"/>
      <x:c r="I10" s="132"/>
    </x:row>
    <x:row r="12" ht="29" customHeight="1">
      <x:c r="A12" s="136" t="str">
        <x:v>El cambio principal COCO EL detectado por Pettitt ocurrió en marzo 1997 y por SNHT absoluto en junio 1997 (véanse hojas anteriores).</x:v>
      </x:c>
      <x:c r="B12" s="136"/>
      <x:c r="C12" s="136"/>
      <x:c r="D12" s="136"/>
      <x:c r="E12" s="136"/>
      <x:c r="F12" s="136"/>
      <x:c r="G12" s="136"/>
      <x:c r="H12" s="136"/>
      <x:c r="I12" s="136"/>
    </x:row>
    <x:row r="13" ht="29" customHeight="1">
      <x:c r="A13" s="140" t="str">
        <x:v>La Florida (111 meses conjuntos aprobados: 1985-02 a 1995-10) NO tiene datos posteriores a 1995.</x:v>
      </x:c>
      <x:c r="B13" s="140"/>
      <x:c r="C13" s="140"/>
      <x:c r="D13" s="140"/>
      <x:c r="E13" s="140"/>
      <x:c r="F13" s="140"/>
      <x:c r="G13" s="140"/>
      <x:c r="H13" s="140"/>
      <x:c r="I13" s="140"/>
    </x:row>
    <x:row r="14" ht="29" customHeight="1">
      <x:c r="A14" s="136" t="str">
        <x:v>Granja El Mira AUT (291 meses conjuntos: 2000-01 a 2025-07) NO tiene datos anteriores a 2000.</x:v>
      </x:c>
      <x:c r="B14" s="136"/>
      <x:c r="C14" s="136"/>
      <x:c r="D14" s="136"/>
      <x:c r="E14" s="136"/>
      <x:c r="F14" s="136"/>
      <x:c r="G14" s="136"/>
      <x:c r="H14" s="136"/>
      <x:c r="I14" s="136"/>
    </x:row>
    <x:row r="15" ht="29" customHeight="1">
      <x:c r="A15" s="140" t="str">
        <x:v>Por tanto, ningún control cruza 1997: las correlaciones y p-valores parciales NO validan el punto de cambio de 1997.</x:v>
      </x:c>
      <x:c r="B15" s="140"/>
      <x:c r="C15" s="140"/>
      <x:c r="D15" s="140"/>
      <x:c r="E15" s="140"/>
      <x:c r="F15" s="140"/>
      <x:c r="G15" s="140"/>
      <x:c r="H15" s="140"/>
      <x:c r="I15" s="140"/>
    </x:row>
    <x:row r="16" ht="29" customHeight="1">
      <x:c r="A16" s="136" t="str">
        <x:v>Control de calidad: Granja tiene 6.598 registros preliminares y 2.645 en revisión; La Florida 6.259 definitivos.</x:v>
      </x:c>
      <x:c r="B16" s="136"/>
      <x:c r="C16" s="136"/>
      <x:c r="D16" s="136"/>
      <x:c r="E16" s="136"/>
      <x:c r="F16" s="136"/>
      <x:c r="G16" s="136"/>
      <x:c r="H16" s="136"/>
      <x:c r="I16" s="136"/>
    </x:row>
    <x:row r="17" ht="29" customHeight="1">
      <x:c r="A17" s="140" t="str">
        <x:v>El SNHT relativo se aplicó a diferencias log(1+P_COCO) − log(1+P_VECINA), con ajuste estacional y permutación por bloques-año; evidencia exploratoria.</x:v>
      </x:c>
      <x:c r="B17" s="140"/>
      <x:c r="C17" s="140"/>
      <x:c r="D17" s="140"/>
      <x:c r="E17" s="140"/>
      <x:c r="F17" s="140"/>
      <x:c r="G17" s="140"/>
      <x:c r="H17" s="140"/>
      <x:c r="I17" s="140"/>
    </x:row>
    <x:row r="18" ht="29" customHeight="1">
      <x:c r="A18" s="136" t="str">
        <x:v>Excel Precipitación(2).xlsx: hojas Metezamuro, Villa Nueva y Aeropuerto Santiago; corresponden a Arauca, NO a Tumaco.</x:v>
      </x:c>
      <x:c r="B18" s="136"/>
      <x:c r="C18" s="136"/>
      <x:c r="D18" s="136"/>
      <x:c r="E18" s="136"/>
      <x:c r="F18" s="136"/>
      <x:c r="G18" s="136"/>
      <x:c r="H18" s="136"/>
      <x:c r="I18" s="136"/>
    </x:row>
    <x:row r="19" ht="29" customHeight="1">
      <x:c r="A19" s="140" t="str">
        <x:v>Para cerrar A1: obtener referencia IDEAM con datos ≥1994–2001 y solape suficiente a ambos lados de 1997; revisar metadatos y cambios de operación.</x:v>
      </x:c>
      <x:c r="B19" s="140"/>
      <x:c r="C19" s="140"/>
      <x:c r="D19" s="140"/>
      <x:c r="E19" s="140"/>
      <x:c r="F19" s="140"/>
      <x:c r="G19" s="140"/>
      <x:c r="H19" s="140"/>
      <x:c r="I19" s="140"/>
    </x:row>
    <x:row r="21" ht="30" customHeight="1">
      <x:c r="A21" s="142" t="str">
        <x:v>No se rellenaron faltantes ni se modificaron precipitaciones originales. Cobertura mínima: 90 % por mes en las dos estaciones.</x:v>
      </x:c>
      <x:c r="B21" s="142"/>
      <x:c r="C21" s="142"/>
      <x:c r="D21" s="142"/>
      <x:c r="E21" s="142"/>
      <x:c r="F21" s="142"/>
      <x:c r="G21" s="142"/>
      <x:c r="H21" s="142"/>
      <x:c r="I21" s="142"/>
    </x:row>
  </x:sheetData>
  <x:mergeCells>
    <x:mergeCell ref="A1:I2"/>
    <x:mergeCell ref="A4:I4"/>
    <x:mergeCell ref="A10:I10"/>
    <x:mergeCell ref="A12:I12"/>
    <x:mergeCell ref="A13:I13"/>
    <x:mergeCell ref="A14:I14"/>
    <x:mergeCell ref="A15:I15"/>
    <x:mergeCell ref="A16:I16"/>
    <x:mergeCell ref="A17:I17"/>
    <x:mergeCell ref="A18:I18"/>
    <x:mergeCell ref="A19:I19"/>
    <x:mergeCell ref="A21:I2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7" hidden="0" customWidth="1"/>
    <x:col min="3" max="3" width="18" hidden="0" customWidth="1"/>
    <x:col min="4" max="4" width="18" hidden="0" customWidth="1"/>
    <x:col min="5" max="5" width="19" hidden="0" customWidth="1"/>
    <x:col min="6" max="6" width="21" hidden="0" customWidth="1"/>
    <x:col min="7" max="7" width="34" hidden="0" customWidth="1"/>
    <x:col min="8" max="8" width="30" hidden="0" customWidth="1"/>
    <x:col min="9" max="9" width="45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4" customHeight="1">
      <x:c r="A1" s="117" t="str">
        <x:v>ESTACIONES IDEAM Y PROCEDENCIA GEOGRÁFICA</x:v>
      </x:c>
      <x:c r="B1" s="117"/>
      <x:c r="C1" s="117"/>
      <x:c r="D1" s="117"/>
      <x:c r="E1" s="117"/>
      <x:c r="F1" s="117"/>
      <x:c r="G1" s="117"/>
      <x:c r="H1" s="117"/>
      <x:c r="I1" s="117"/>
    </x:row>
    <x:row r="2" ht="24" customHeight="1">
      <x:c r="A2" s="117"/>
      <x:c r="B2" s="117"/>
      <x:c r="C2" s="117"/>
      <x:c r="D2" s="117"/>
      <x:c r="E2" s="117"/>
      <x:c r="F2" s="117"/>
      <x:c r="G2" s="117"/>
      <x:c r="H2" s="117"/>
      <x:c r="I2" s="117"/>
    </x:row>
    <x:row r="3" ht="12" customHeight="1"/>
    <x:row r="5" ht="28" customHeight="1">
      <x:c r="A5" s="124" t="str">
        <x:v>Estación</x:v>
      </x:c>
      <x:c r="B5" s="124" t="str">
        <x:v>Código</x:v>
      </x:c>
      <x:c r="C5" s="124" t="str">
        <x:v>Latitud °</x:v>
      </x:c>
      <x:c r="D5" s="124" t="str">
        <x:v>Longitud °</x:v>
      </x:c>
      <x:c r="E5" s="124" t="str">
        <x:v>Distancia a COCO km</x:v>
      </x:c>
      <x:c r="F5" s="124" t="str">
        <x:v>Primer registro</x:v>
      </x:c>
      <x:c r="G5" s="124" t="str">
        <x:v>Último registro</x:v>
      </x:c>
      <x:c r="H5" s="124" t="str">
        <x:v>Estado de aprobación</x:v>
      </x:c>
      <x:c r="I5" s="124" t="str">
        <x:v>Fuente / referencia</x:v>
      </x:c>
    </x:row>
    <x:row r="6" ht="42" customHeight="1">
      <x:c r="A6" s="136" t="str">
        <x:v>COCO EL</x:v>
      </x:c>
      <x:c r="B6" s="136" t="n">
        <x:v>51030020</x:v>
      </x:c>
      <x:c r="C6" s="143" t="n">
        <x:v>1.63372222</x:v>
      </x:c>
      <x:c r="D6" s="143" t="n">
        <x:v>-78.62986111</x:v>
      </x:c>
      <x:c r="E6" s="143" t="n">
        <x:v>0</x:v>
      </x:c>
      <x:c r="F6" s="136" t="str">
        <x:v>1985-01-01</x:v>
      </x:c>
      <x:c r="G6" s="136" t="str">
        <x:v>2025-07-31</x:v>
      </x:c>
      <x:c r="H6" s="136" t="str">
        <x:v>No detallado en Excel</x:v>
      </x:c>
      <x:c r="I6" s="136" t="str">
        <x:v>https://corponarino.gov.co/wp-content/uploads/2024/09/2.-COMPONENTE-CLIMA.pdf</x:v>
      </x:c>
    </x:row>
    <x:row r="7" ht="42" customHeight="1">
      <x:c r="A7" s="136" t="str">
        <x:v>GRANJA EL MIRA</x:v>
      </x:c>
      <x:c r="B7" s="136" t="n">
        <x:v>51025090</x:v>
      </x:c>
      <x:c r="C7" s="143" t="n">
        <x:v>1.55019444</x:v>
      </x:c>
      <x:c r="D7" s="143" t="n">
        <x:v>-78.69558333</x:v>
      </x:c>
      <x:c r="E7" s="143" t="n">
        <x:v>11.82</x:v>
      </x:c>
      <x:c r="F7" s="136" t="str">
        <x:v>2000-01-01</x:v>
      </x:c>
      <x:c r="G7" s="136" t="str">
        <x:v>2025-12-31</x:v>
      </x:c>
      <x:c r="H7" s="136" t="str">
        <x:v>Preliminar: 6598, En revisión: 2645</x:v>
      </x:c>
      <x:c r="I7" s="136" t="str">
        <x:v>https://visualizador.ideam.gov.co/gisserver/rest/services/Datos_Referencia/MapServer/0</x:v>
      </x:c>
    </x:row>
    <x:row r="8" ht="42" customHeight="1">
      <x:c r="A8" s="136" t="str">
        <x:v>AEROPUERTO LA FLORIDA</x:v>
      </x:c>
      <x:c r="B8" s="136" t="n">
        <x:v>51035010</x:v>
      </x:c>
      <x:c r="C8" s="143" t="n">
        <x:v>1.8</x:v>
      </x:c>
      <x:c r="D8" s="143" t="n">
        <x:v>-78.76666667</x:v>
      </x:c>
      <x:c r="E8" s="143" t="n">
        <x:v>23.94</x:v>
      </x:c>
      <x:c r="F8" s="136" t="str">
        <x:v>1976-01-01</x:v>
      </x:c>
      <x:c r="G8" s="136" t="str">
        <x:v>1995-10-31</x:v>
      </x:c>
      <x:c r="H8" s="136" t="str">
        <x:v>Definitivo: 6259</x:v>
      </x:c>
      <x:c r="I8" s="136" t="str">
        <x:v>https://visualizador.ideam.gov.co/gisserver/rest/services/Datos_Referencia/MapServer/0</x:v>
      </x:c>
    </x:row>
    <x:row r="11" ht="32" customHeight="1">
      <x:c r="A11" s="142" t="str">
        <x:v>Distancias de línea recta calculadas con Haversine; coordenadas de La Florida redondeadas en catálogo (distancia aproximada).</x:v>
      </x:c>
      <x:c r="B11" s="142"/>
      <x:c r="C11" s="142"/>
      <x:c r="D11" s="142"/>
      <x:c r="E11" s="142"/>
      <x:c r="F11" s="142"/>
      <x:c r="G11" s="142"/>
      <x:c r="H11" s="142"/>
      <x:c r="I11" s="142"/>
    </x:row>
    <x:row r="13" ht="32" customHeight="1">
      <x:c r="A13" s="135" t="str">
        <x:v>El código 51025090 (Granja El Mira AUT) es distinto de 51025010 (Granja El Mira histórica). No unir series automáticamente.</x:v>
      </x:c>
      <x:c r="B13" s="135"/>
      <x:c r="C13" s="135"/>
      <x:c r="D13" s="135"/>
      <x:c r="E13" s="135"/>
      <x:c r="F13" s="135"/>
      <x:c r="G13" s="135"/>
      <x:c r="H13" s="135"/>
      <x:c r="I13" s="135"/>
    </x:row>
  </x:sheetData>
  <x:mergeCells>
    <x:mergeCell ref="A1:I2"/>
    <x:mergeCell ref="A11:I11"/>
    <x:mergeCell ref="A13:I1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9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4" customHeight="1">
      <x:c r="A1" s="117" t="str">
        <x:v>SERIES MENSUALES COMPARABLES • GRANJA EL MIRA</x:v>
      </x:c>
      <x:c r="B1" s="117"/>
      <x:c r="C1" s="117"/>
      <x:c r="D1" s="117"/>
      <x:c r="E1" s="117"/>
      <x:c r="F1" s="117"/>
      <x:c r="G1" s="117"/>
      <x:c r="H1" s="117"/>
      <x:c r="I1" s="117"/>
    </x:row>
    <x:row r="2" ht="24" customHeight="1">
      <x:c r="A2" s="117"/>
      <x:c r="B2" s="117"/>
      <x:c r="C2" s="117"/>
      <x:c r="D2" s="117"/>
      <x:c r="E2" s="117"/>
      <x:c r="F2" s="117"/>
      <x:c r="G2" s="117"/>
      <x:c r="H2" s="117"/>
      <x:c r="I2" s="117"/>
    </x:row>
    <x:row r="3" ht="12" customHeight="1"/>
    <x:row r="4" ht="25" customHeight="1">
      <x:c r="A4" s="135" t="str">
        <x:v>Solo meses en común con cobertura diaria ≥ 90 % en ambas estaciones; precipitaciones en mm/mes.</x:v>
      </x:c>
      <x:c r="B4" s="135"/>
      <x:c r="C4" s="135"/>
      <x:c r="D4" s="135"/>
      <x:c r="E4" s="135"/>
      <x:c r="F4" s="135"/>
      <x:c r="G4" s="135"/>
      <x:c r="H4" s="135"/>
      <x:c r="I4" s="135"/>
    </x:row>
    <x:row r="6" ht="28" customHeight="1">
      <x:c r="A6" s="124" t="str">
        <x:v>Mes</x:v>
      </x:c>
      <x:c r="B6" s="124" t="str">
        <x:v>COCO EL [mm]</x:v>
      </x:c>
      <x:c r="C6" s="124" t="str">
        <x:v>Vecina [mm]</x:v>
      </x:c>
      <x:c r="D6" s="124" t="str">
        <x:v>COCO cobertura %</x:v>
      </x:c>
      <x:c r="E6" s="124" t="str">
        <x:v>Vecina cobertura %</x:v>
      </x:c>
      <x:c r="F6" s="124" t="str">
        <x:v>Diferencia [mm]</x:v>
      </x:c>
      <x:c r="G6" s="124" t="str">
        <x:v>log(P+1) diferencia</x:v>
      </x:c>
    </x:row>
    <x:row r="7" ht="18" customHeight="1">
      <x:c r="A7" s="144" t="str">
        <x:v>2000-01</x:v>
      </x:c>
      <x:c r="B7" s="145" t="n">
        <x:v>217</x:v>
      </x:c>
      <x:c r="C7" s="145" t="n">
        <x:v>274.7</x:v>
      </x:c>
      <x:c r="D7" s="145" t="n">
        <x:v>100</x:v>
      </x:c>
      <x:c r="E7" s="145" t="n">
        <x:v>100</x:v>
      </x:c>
      <x:c r="F7" s="145" t="n">
        <x:v>-57.7</x:v>
      </x:c>
      <x:c r="G7" s="145" t="n">
        <x:v>-0.2348</x:v>
      </x:c>
    </x:row>
    <x:row r="8" ht="18" customHeight="1">
      <x:c r="A8" s="144" t="str">
        <x:v>2000-02</x:v>
      </x:c>
      <x:c r="B8" s="145" t="n">
        <x:v>254</x:v>
      </x:c>
      <x:c r="C8" s="145" t="n">
        <x:v>329.6</x:v>
      </x:c>
      <x:c r="D8" s="145" t="n">
        <x:v>100</x:v>
      </x:c>
      <x:c r="E8" s="145" t="n">
        <x:v>100</x:v>
      </x:c>
      <x:c r="F8" s="145" t="n">
        <x:v>-75.6</x:v>
      </x:c>
      <x:c r="G8" s="145" t="n">
        <x:v>-0.2596</x:v>
      </x:c>
    </x:row>
    <x:row r="9" ht="18" customHeight="1">
      <x:c r="A9" s="144" t="str">
        <x:v>2000-03</x:v>
      </x:c>
      <x:c r="B9" s="145" t="n">
        <x:v>234.6</x:v>
      </x:c>
      <x:c r="C9" s="145" t="n">
        <x:v>384.7</x:v>
      </x:c>
      <x:c r="D9" s="145" t="n">
        <x:v>100</x:v>
      </x:c>
      <x:c r="E9" s="145" t="n">
        <x:v>100</x:v>
      </x:c>
      <x:c r="F9" s="145" t="n">
        <x:v>-150.1</x:v>
      </x:c>
      <x:c r="G9" s="145" t="n">
        <x:v>-0.4929</x:v>
      </x:c>
    </x:row>
    <x:row r="10" ht="18" customHeight="1">
      <x:c r="A10" s="144" t="str">
        <x:v>2000-04</x:v>
      </x:c>
      <x:c r="B10" s="145" t="n">
        <x:v>404</x:v>
      </x:c>
      <x:c r="C10" s="145" t="n">
        <x:v>246.7</x:v>
      </x:c>
      <x:c r="D10" s="145" t="n">
        <x:v>100</x:v>
      </x:c>
      <x:c r="E10" s="145" t="n">
        <x:v>100</x:v>
      </x:c>
      <x:c r="F10" s="145" t="n">
        <x:v>157.3</x:v>
      </x:c>
      <x:c r="G10" s="145" t="n">
        <x:v>0.4917</x:v>
      </x:c>
    </x:row>
    <x:row r="11" ht="18" customHeight="1">
      <x:c r="A11" s="144" t="str">
        <x:v>2000-05</x:v>
      </x:c>
      <x:c r="B11" s="145" t="n">
        <x:v>349</x:v>
      </x:c>
      <x:c r="C11" s="145" t="n">
        <x:v>387.7</x:v>
      </x:c>
      <x:c r="D11" s="145" t="n">
        <x:v>100</x:v>
      </x:c>
      <x:c r="E11" s="145" t="n">
        <x:v>100</x:v>
      </x:c>
      <x:c r="F11" s="145" t="n">
        <x:v>-38.7</x:v>
      </x:c>
      <x:c r="G11" s="145" t="n">
        <x:v>-0.1049</x:v>
      </x:c>
    </x:row>
    <x:row r="12" ht="18" customHeight="1">
      <x:c r="A12" s="144" t="str">
        <x:v>2000-06</x:v>
      </x:c>
      <x:c r="B12" s="145" t="n">
        <x:v>259</x:v>
      </x:c>
      <x:c r="C12" s="145" t="n">
        <x:v>325.9</x:v>
      </x:c>
      <x:c r="D12" s="145" t="n">
        <x:v>100</x:v>
      </x:c>
      <x:c r="E12" s="145" t="n">
        <x:v>100</x:v>
      </x:c>
      <x:c r="F12" s="145" t="n">
        <x:v>-66.9</x:v>
      </x:c>
      <x:c r="G12" s="145" t="n">
        <x:v>-0.229</x:v>
      </x:c>
    </x:row>
    <x:row r="13" ht="18" customHeight="1">
      <x:c r="A13" s="144" t="str">
        <x:v>2000-07</x:v>
      </x:c>
      <x:c r="B13" s="145" t="n">
        <x:v>129</x:v>
      </x:c>
      <x:c r="C13" s="145" t="n">
        <x:v>111.5</x:v>
      </x:c>
      <x:c r="D13" s="145" t="n">
        <x:v>100</x:v>
      </x:c>
      <x:c r="E13" s="145" t="n">
        <x:v>100</x:v>
      </x:c>
      <x:c r="F13" s="145" t="n">
        <x:v>17.5</x:v>
      </x:c>
      <x:c r="G13" s="145" t="n">
        <x:v>0.1446</x:v>
      </x:c>
    </x:row>
    <x:row r="14" ht="18" customHeight="1">
      <x:c r="A14" s="144" t="str">
        <x:v>2000-08</x:v>
      </x:c>
      <x:c r="B14" s="145" t="n">
        <x:v>72</x:v>
      </x:c>
      <x:c r="C14" s="145" t="n">
        <x:v>75.7</x:v>
      </x:c>
      <x:c r="D14" s="145" t="n">
        <x:v>100</x:v>
      </x:c>
      <x:c r="E14" s="145" t="n">
        <x:v>100</x:v>
      </x:c>
      <x:c r="F14" s="145" t="n">
        <x:v>-3.7</x:v>
      </x:c>
      <x:c r="G14" s="145" t="n">
        <x:v>-0.0494</x:v>
      </x:c>
    </x:row>
    <x:row r="15" ht="18" customHeight="1">
      <x:c r="A15" s="144" t="str">
        <x:v>2000-09</x:v>
      </x:c>
      <x:c r="B15" s="145" t="n">
        <x:v>220</x:v>
      </x:c>
      <x:c r="C15" s="145" t="n">
        <x:v>258.1</x:v>
      </x:c>
      <x:c r="D15" s="145" t="n">
        <x:v>100</x:v>
      </x:c>
      <x:c r="E15" s="145" t="n">
        <x:v>100</x:v>
      </x:c>
      <x:c r="F15" s="145" t="n">
        <x:v>-38.1</x:v>
      </x:c>
      <x:c r="G15" s="145" t="n">
        <x:v>-0.1591</x:v>
      </x:c>
    </x:row>
    <x:row r="16" ht="18" customHeight="1">
      <x:c r="A16" s="144" t="str">
        <x:v>2000-10</x:v>
      </x:c>
      <x:c r="B16" s="145" t="n">
        <x:v>195</x:v>
      </x:c>
      <x:c r="C16" s="145" t="n">
        <x:v>214.8</x:v>
      </x:c>
      <x:c r="D16" s="145" t="n">
        <x:v>100</x:v>
      </x:c>
      <x:c r="E16" s="145" t="n">
        <x:v>100</x:v>
      </x:c>
      <x:c r="F16" s="145" t="n">
        <x:v>-19.8</x:v>
      </x:c>
      <x:c r="G16" s="145" t="n">
        <x:v>-0.0962</x:v>
      </x:c>
    </x:row>
    <x:row r="17" ht="18" customHeight="1">
      <x:c r="A17" s="144" t="str">
        <x:v>2000-11</x:v>
      </x:c>
      <x:c r="B17" s="145" t="n">
        <x:v>84</x:v>
      </x:c>
      <x:c r="C17" s="145" t="n">
        <x:v>48.2</x:v>
      </x:c>
      <x:c r="D17" s="145" t="n">
        <x:v>100</x:v>
      </x:c>
      <x:c r="E17" s="145" t="n">
        <x:v>100</x:v>
      </x:c>
      <x:c r="F17" s="145" t="n">
        <x:v>35.8</x:v>
      </x:c>
      <x:c r="G17" s="145" t="n">
        <x:v>0.5468</x:v>
      </x:c>
    </x:row>
    <x:row r="18" ht="18" customHeight="1">
      <x:c r="A18" s="144" t="str">
        <x:v>2000-12</x:v>
      </x:c>
      <x:c r="B18" s="145" t="n">
        <x:v>340</x:v>
      </x:c>
      <x:c r="C18" s="145" t="n">
        <x:v>254.4</x:v>
      </x:c>
      <x:c r="D18" s="145" t="n">
        <x:v>100</x:v>
      </x:c>
      <x:c r="E18" s="145" t="n">
        <x:v>96.8</x:v>
      </x:c>
      <x:c r="F18" s="145" t="n">
        <x:v>85.6</x:v>
      </x:c>
      <x:c r="G18" s="145" t="n">
        <x:v>0.2891</x:v>
      </x:c>
    </x:row>
    <x:row r="19" ht="18" customHeight="1">
      <x:c r="A19" s="144" t="str">
        <x:v>2001-01</x:v>
      </x:c>
      <x:c r="B19" s="145" t="n">
        <x:v>140</x:v>
      </x:c>
      <x:c r="C19" s="145" t="n">
        <x:v>184.9</x:v>
      </x:c>
      <x:c r="D19" s="145" t="n">
        <x:v>100</x:v>
      </x:c>
      <x:c r="E19" s="145" t="n">
        <x:v>100</x:v>
      </x:c>
      <x:c r="F19" s="145" t="n">
        <x:v>-44.9</x:v>
      </x:c>
      <x:c r="G19" s="145" t="n">
        <x:v>-0.2764</x:v>
      </x:c>
    </x:row>
    <x:row r="20" ht="18" customHeight="1">
      <x:c r="A20" s="144" t="str">
        <x:v>2001-02</x:v>
      </x:c>
      <x:c r="B20" s="145" t="n">
        <x:v>20</x:v>
      </x:c>
      <x:c r="C20" s="145" t="n">
        <x:v>213</x:v>
      </x:c>
      <x:c r="D20" s="145" t="n">
        <x:v>100</x:v>
      </x:c>
      <x:c r="E20" s="145" t="n">
        <x:v>100</x:v>
      </x:c>
      <x:c r="F20" s="145" t="n">
        <x:v>-193</x:v>
      </x:c>
      <x:c r="G20" s="145" t="n">
        <x:v>-2.3215</x:v>
      </x:c>
    </x:row>
    <x:row r="21" ht="18" customHeight="1">
      <x:c r="A21" s="144" t="str">
        <x:v>2001-03</x:v>
      </x:c>
      <x:c r="B21" s="145" t="n">
        <x:v>108</x:v>
      </x:c>
      <x:c r="C21" s="145" t="n">
        <x:v>173.5</x:v>
      </x:c>
      <x:c r="D21" s="145" t="n">
        <x:v>100</x:v>
      </x:c>
      <x:c r="E21" s="145" t="n">
        <x:v>100</x:v>
      </x:c>
      <x:c r="F21" s="145" t="n">
        <x:v>-65.5</x:v>
      </x:c>
      <x:c r="G21" s="145" t="n">
        <x:v>-0.4706</x:v>
      </x:c>
    </x:row>
    <x:row r="22" ht="18" customHeight="1">
      <x:c r="A22" s="144" t="str">
        <x:v>2001-04</x:v>
      </x:c>
      <x:c r="B22" s="145" t="n">
        <x:v>511</x:v>
      </x:c>
      <x:c r="C22" s="145" t="n">
        <x:v>272.1</x:v>
      </x:c>
      <x:c r="D22" s="145" t="n">
        <x:v>100</x:v>
      </x:c>
      <x:c r="E22" s="145" t="n">
        <x:v>100</x:v>
      </x:c>
      <x:c r="F22" s="145" t="n">
        <x:v>238.9</x:v>
      </x:c>
      <x:c r="G22" s="145" t="n">
        <x:v>0.6285</x:v>
      </x:c>
    </x:row>
    <x:row r="23" ht="18" customHeight="1">
      <x:c r="A23" s="144" t="str">
        <x:v>2001-05</x:v>
      </x:c>
      <x:c r="B23" s="145" t="n">
        <x:v>1293</x:v>
      </x:c>
      <x:c r="C23" s="145" t="n">
        <x:v>388.6</x:v>
      </x:c>
      <x:c r="D23" s="145" t="n">
        <x:v>100</x:v>
      </x:c>
      <x:c r="E23" s="145" t="n">
        <x:v>100</x:v>
      </x:c>
      <x:c r="F23" s="145" t="n">
        <x:v>904.4</x:v>
      </x:c>
      <x:c r="G23" s="145" t="n">
        <x:v>1.2004</x:v>
      </x:c>
    </x:row>
    <x:row r="24" ht="18" customHeight="1">
      <x:c r="A24" s="144" t="str">
        <x:v>2001-06</x:v>
      </x:c>
      <x:c r="B24" s="145" t="n">
        <x:v>294</x:v>
      </x:c>
      <x:c r="C24" s="145" t="n">
        <x:v>122</x:v>
      </x:c>
      <x:c r="D24" s="145" t="n">
        <x:v>100</x:v>
      </x:c>
      <x:c r="E24" s="145" t="n">
        <x:v>96.7</x:v>
      </x:c>
      <x:c r="F24" s="145" t="n">
        <x:v>172</x:v>
      </x:c>
      <x:c r="G24" s="145" t="n">
        <x:v>0.8748</x:v>
      </x:c>
    </x:row>
    <x:row r="25" ht="18" customHeight="1">
      <x:c r="A25" s="144" t="str">
        <x:v>2001-07</x:v>
      </x:c>
      <x:c r="B25" s="145" t="n">
        <x:v>215</x:v>
      </x:c>
      <x:c r="C25" s="145" t="n">
        <x:v>133.5</x:v>
      </x:c>
      <x:c r="D25" s="145" t="n">
        <x:v>100</x:v>
      </x:c>
      <x:c r="E25" s="145" t="n">
        <x:v>100</x:v>
      </x:c>
      <x:c r="F25" s="145" t="n">
        <x:v>81.5</x:v>
      </x:c>
      <x:c r="G25" s="145" t="n">
        <x:v>0.4737</x:v>
      </x:c>
    </x:row>
    <x:row r="26" ht="18" customHeight="1">
      <x:c r="A26" s="144" t="str">
        <x:v>2001-08</x:v>
      </x:c>
      <x:c r="B26" s="145" t="n">
        <x:v>7</x:v>
      </x:c>
      <x:c r="C26" s="145" t="n">
        <x:v>13</x:v>
      </x:c>
      <x:c r="D26" s="145" t="n">
        <x:v>100</x:v>
      </x:c>
      <x:c r="E26" s="145" t="n">
        <x:v>100</x:v>
      </x:c>
      <x:c r="F26" s="145" t="n">
        <x:v>-6</x:v>
      </x:c>
      <x:c r="G26" s="145" t="n">
        <x:v>-0.5596</x:v>
      </x:c>
    </x:row>
    <x:row r="27" ht="18" customHeight="1">
      <x:c r="A27" s="144" t="str">
        <x:v>2001-09</x:v>
      </x:c>
      <x:c r="B27" s="145" t="n">
        <x:v>110</x:v>
      </x:c>
      <x:c r="C27" s="145" t="n">
        <x:v>117.6</x:v>
      </x:c>
      <x:c r="D27" s="145" t="n">
        <x:v>100</x:v>
      </x:c>
      <x:c r="E27" s="145" t="n">
        <x:v>100</x:v>
      </x:c>
      <x:c r="F27" s="145" t="n">
        <x:v>-7.6</x:v>
      </x:c>
      <x:c r="G27" s="145" t="n">
        <x:v>-0.0662</x:v>
      </x:c>
    </x:row>
    <x:row r="28" ht="18" customHeight="1">
      <x:c r="A28" s="144" t="str">
        <x:v>2001-10</x:v>
      </x:c>
      <x:c r="B28" s="145" t="n">
        <x:v>39</x:v>
      </x:c>
      <x:c r="C28" s="145" t="n">
        <x:v>23.5</x:v>
      </x:c>
      <x:c r="D28" s="145" t="n">
        <x:v>100</x:v>
      </x:c>
      <x:c r="E28" s="145" t="n">
        <x:v>100</x:v>
      </x:c>
      <x:c r="F28" s="145" t="n">
        <x:v>15.5</x:v>
      </x:c>
      <x:c r="G28" s="145" t="n">
        <x:v>0.4902</x:v>
      </x:c>
    </x:row>
    <x:row r="29" ht="18" customHeight="1">
      <x:c r="A29" s="144" t="str">
        <x:v>2001-11</x:v>
      </x:c>
      <x:c r="B29" s="145" t="n">
        <x:v>81</x:v>
      </x:c>
      <x:c r="C29" s="145" t="n">
        <x:v>53.9</x:v>
      </x:c>
      <x:c r="D29" s="145" t="n">
        <x:v>100</x:v>
      </x:c>
      <x:c r="E29" s="145" t="n">
        <x:v>100</x:v>
      </x:c>
      <x:c r="F29" s="145" t="n">
        <x:v>27.1</x:v>
      </x:c>
      <x:c r="G29" s="145" t="n">
        <x:v>0.4012</x:v>
      </x:c>
    </x:row>
    <x:row r="30" ht="18" customHeight="1">
      <x:c r="A30" s="144" t="str">
        <x:v>2001-12</x:v>
      </x:c>
      <x:c r="B30" s="145" t="n">
        <x:v>361</x:v>
      </x:c>
      <x:c r="C30" s="145" t="n">
        <x:v>187.8</x:v>
      </x:c>
      <x:c r="D30" s="145" t="n">
        <x:v>100</x:v>
      </x:c>
      <x:c r="E30" s="145" t="n">
        <x:v>96.8</x:v>
      </x:c>
      <x:c r="F30" s="145" t="n">
        <x:v>173.2</x:v>
      </x:c>
      <x:c r="G30" s="145" t="n">
        <x:v>0.651</x:v>
      </x:c>
    </x:row>
    <x:row r="31" ht="18" customHeight="1">
      <x:c r="A31" s="144" t="str">
        <x:v>2002-01</x:v>
      </x:c>
      <x:c r="B31" s="145" t="n">
        <x:v>259</x:v>
      </x:c>
      <x:c r="C31" s="145" t="n">
        <x:v>350.7</x:v>
      </x:c>
      <x:c r="D31" s="145" t="n">
        <x:v>100</x:v>
      </x:c>
      <x:c r="E31" s="145" t="n">
        <x:v>100</x:v>
      </x:c>
      <x:c r="F31" s="145" t="n">
        <x:v>-91.7</x:v>
      </x:c>
      <x:c r="G31" s="145" t="n">
        <x:v>-0.3021</x:v>
      </x:c>
    </x:row>
    <x:row r="32" ht="18" customHeight="1">
      <x:c r="A32" s="144" t="str">
        <x:v>2002-02</x:v>
      </x:c>
      <x:c r="B32" s="145" t="n">
        <x:v>692</x:v>
      </x:c>
      <x:c r="C32" s="145" t="n">
        <x:v>369.1</x:v>
      </x:c>
      <x:c r="D32" s="145" t="n">
        <x:v>100</x:v>
      </x:c>
      <x:c r="E32" s="145" t="n">
        <x:v>100</x:v>
      </x:c>
      <x:c r="F32" s="145" t="n">
        <x:v>322.9</x:v>
      </x:c>
      <x:c r="G32" s="145" t="n">
        <x:v>0.6273</x:v>
      </x:c>
    </x:row>
    <x:row r="33" ht="18" customHeight="1">
      <x:c r="A33" s="144" t="str">
        <x:v>2002-03</x:v>
      </x:c>
      <x:c r="B33" s="145" t="n">
        <x:v>346</x:v>
      </x:c>
      <x:c r="C33" s="145" t="n">
        <x:v>159.9</x:v>
      </x:c>
      <x:c r="D33" s="145" t="n">
        <x:v>100</x:v>
      </x:c>
      <x:c r="E33" s="145" t="n">
        <x:v>100</x:v>
      </x:c>
      <x:c r="F33" s="145" t="n">
        <x:v>186.1</x:v>
      </x:c>
      <x:c r="G33" s="145" t="n">
        <x:v>0.7685</x:v>
      </x:c>
    </x:row>
    <x:row r="34" ht="18" customHeight="1">
      <x:c r="A34" s="144" t="str">
        <x:v>2002-04</x:v>
      </x:c>
      <x:c r="B34" s="145" t="n">
        <x:v>348.1</x:v>
      </x:c>
      <x:c r="C34" s="145" t="n">
        <x:v>439.7</x:v>
      </x:c>
      <x:c r="D34" s="145" t="n">
        <x:v>100</x:v>
      </x:c>
      <x:c r="E34" s="145" t="n">
        <x:v>100</x:v>
      </x:c>
      <x:c r="F34" s="145" t="n">
        <x:v>-91.6</x:v>
      </x:c>
      <x:c r="G34" s="145" t="n">
        <x:v>-0.233</x:v>
      </x:c>
    </x:row>
    <x:row r="35" ht="18" customHeight="1">
      <x:c r="A35" s="144" t="str">
        <x:v>2002-05</x:v>
      </x:c>
      <x:c r="B35" s="145" t="n">
        <x:v>415</x:v>
      </x:c>
      <x:c r="C35" s="145" t="n">
        <x:v>463</x:v>
      </x:c>
      <x:c r="D35" s="145" t="n">
        <x:v>100</x:v>
      </x:c>
      <x:c r="E35" s="145" t="n">
        <x:v>100</x:v>
      </x:c>
      <x:c r="F35" s="145" t="n">
        <x:v>-48</x:v>
      </x:c>
      <x:c r="G35" s="145" t="n">
        <x:v>-0.1092</x:v>
      </x:c>
    </x:row>
    <x:row r="36" ht="18" customHeight="1">
      <x:c r="A36" s="144" t="str">
        <x:v>2002-06</x:v>
      </x:c>
      <x:c r="B36" s="145" t="n">
        <x:v>474</x:v>
      </x:c>
      <x:c r="C36" s="145" t="n">
        <x:v>389</x:v>
      </x:c>
      <x:c r="D36" s="145" t="n">
        <x:v>100</x:v>
      </x:c>
      <x:c r="E36" s="145" t="n">
        <x:v>100</x:v>
      </x:c>
      <x:c r="F36" s="145" t="n">
        <x:v>85</x:v>
      </x:c>
      <x:c r="G36" s="145" t="n">
        <x:v>0.1972</x:v>
      </x:c>
    </x:row>
    <x:row r="37" ht="18" customHeight="1">
      <x:c r="A37" s="144" t="str">
        <x:v>2002-07</x:v>
      </x:c>
      <x:c r="B37" s="145" t="n">
        <x:v>322</x:v>
      </x:c>
      <x:c r="C37" s="145" t="n">
        <x:v>325</x:v>
      </x:c>
      <x:c r="D37" s="145" t="n">
        <x:v>100</x:v>
      </x:c>
      <x:c r="E37" s="145" t="n">
        <x:v>100</x:v>
      </x:c>
      <x:c r="F37" s="145" t="n">
        <x:v>-3</x:v>
      </x:c>
      <x:c r="G37" s="145" t="n">
        <x:v>-0.0092</x:v>
      </x:c>
    </x:row>
    <x:row r="38" ht="18" customHeight="1">
      <x:c r="A38" s="144" t="str">
        <x:v>2002-08</x:v>
      </x:c>
      <x:c r="B38" s="145" t="n">
        <x:v>8</x:v>
      </x:c>
      <x:c r="C38" s="145" t="n">
        <x:v>14.6</x:v>
      </x:c>
      <x:c r="D38" s="145" t="n">
        <x:v>100</x:v>
      </x:c>
      <x:c r="E38" s="145" t="n">
        <x:v>100</x:v>
      </x:c>
      <x:c r="F38" s="145" t="n">
        <x:v>-6.6</x:v>
      </x:c>
      <x:c r="G38" s="145" t="n">
        <x:v>-0.55</x:v>
      </x:c>
    </x:row>
    <x:row r="39" ht="18" customHeight="1">
      <x:c r="A39" s="144" t="str">
        <x:v>2002-09</x:v>
      </x:c>
      <x:c r="B39" s="145" t="n">
        <x:v>100</x:v>
      </x:c>
      <x:c r="C39" s="145" t="n">
        <x:v>131.5</x:v>
      </x:c>
      <x:c r="D39" s="145" t="n">
        <x:v>100</x:v>
      </x:c>
      <x:c r="E39" s="145" t="n">
        <x:v>100</x:v>
      </x:c>
      <x:c r="F39" s="145" t="n">
        <x:v>-31.5</x:v>
      </x:c>
      <x:c r="G39" s="145" t="n">
        <x:v>-0.2715</x:v>
      </x:c>
    </x:row>
    <x:row r="40" ht="18" customHeight="1">
      <x:c r="A40" s="144" t="str">
        <x:v>2002-10</x:v>
      </x:c>
      <x:c r="B40" s="145" t="n">
        <x:v>233</x:v>
      </x:c>
      <x:c r="C40" s="145" t="n">
        <x:v>185.6</x:v>
      </x:c>
      <x:c r="D40" s="145" t="n">
        <x:v>100</x:v>
      </x:c>
      <x:c r="E40" s="145" t="n">
        <x:v>100</x:v>
      </x:c>
      <x:c r="F40" s="145" t="n">
        <x:v>47.4</x:v>
      </x:c>
      <x:c r="G40" s="145" t="n">
        <x:v>0.2264</x:v>
      </x:c>
    </x:row>
    <x:row r="41" ht="18" customHeight="1">
      <x:c r="A41" s="144" t="str">
        <x:v>2002-11</x:v>
      </x:c>
      <x:c r="B41" s="145" t="n">
        <x:v>78</x:v>
      </x:c>
      <x:c r="C41" s="145" t="n">
        <x:v>237.1</x:v>
      </x:c>
      <x:c r="D41" s="145" t="n">
        <x:v>100</x:v>
      </x:c>
      <x:c r="E41" s="145" t="n">
        <x:v>96.7</x:v>
      </x:c>
      <x:c r="F41" s="145" t="n">
        <x:v>-159.1</x:v>
      </x:c>
      <x:c r="G41" s="145" t="n">
        <x:v>-1.1032</x:v>
      </x:c>
    </x:row>
    <x:row r="42" ht="18" customHeight="1">
      <x:c r="A42" s="144" t="str">
        <x:v>2002-12</x:v>
      </x:c>
      <x:c r="B42" s="145" t="n">
        <x:v>689</x:v>
      </x:c>
      <x:c r="C42" s="145" t="n">
        <x:v>366.6</x:v>
      </x:c>
      <x:c r="D42" s="145" t="n">
        <x:v>100</x:v>
      </x:c>
      <x:c r="E42" s="145" t="n">
        <x:v>96.8</x:v>
      </x:c>
      <x:c r="F42" s="145" t="n">
        <x:v>322.4</x:v>
      </x:c>
      <x:c r="G42" s="145" t="n">
        <x:v>0.6297</x:v>
      </x:c>
    </x:row>
    <x:row r="43" ht="18" customHeight="1">
      <x:c r="A43" s="144" t="str">
        <x:v>2003-01</x:v>
      </x:c>
      <x:c r="B43" s="145" t="n">
        <x:v>306</x:v>
      </x:c>
      <x:c r="C43" s="145" t="n">
        <x:v>49.7</x:v>
      </x:c>
      <x:c r="D43" s="145" t="n">
        <x:v>100</x:v>
      </x:c>
      <x:c r="E43" s="145" t="n">
        <x:v>96.8</x:v>
      </x:c>
      <x:c r="F43" s="145" t="n">
        <x:v>256.3</x:v>
      </x:c>
      <x:c r="G43" s="145" t="n">
        <x:v>1.8009</x:v>
      </x:c>
    </x:row>
    <x:row r="44" ht="18" customHeight="1">
      <x:c r="A44" s="144" t="str">
        <x:v>2003-02</x:v>
      </x:c>
      <x:c r="B44" s="145" t="n">
        <x:v>250</x:v>
      </x:c>
      <x:c r="C44" s="145" t="n">
        <x:v>55.6</x:v>
      </x:c>
      <x:c r="D44" s="145" t="n">
        <x:v>100</x:v>
      </x:c>
      <x:c r="E44" s="145" t="n">
        <x:v>92.9</x:v>
      </x:c>
      <x:c r="F44" s="145" t="n">
        <x:v>194.4</x:v>
      </x:c>
      <x:c r="G44" s="145" t="n">
        <x:v>1.4894</x:v>
      </x:c>
    </x:row>
    <x:row r="45" ht="18" customHeight="1">
      <x:c r="A45" s="144" t="str">
        <x:v>2003-03</x:v>
      </x:c>
      <x:c r="B45" s="145" t="n">
        <x:v>292</x:v>
      </x:c>
      <x:c r="C45" s="145" t="n">
        <x:v>305</x:v>
      </x:c>
      <x:c r="D45" s="145" t="n">
        <x:v>100</x:v>
      </x:c>
      <x:c r="E45" s="145" t="n">
        <x:v>90.3</x:v>
      </x:c>
      <x:c r="F45" s="145" t="n">
        <x:v>-13</x:v>
      </x:c>
      <x:c r="G45" s="145" t="n">
        <x:v>-0.0434</x:v>
      </x:c>
    </x:row>
    <x:row r="46" ht="18" customHeight="1">
      <x:c r="A46" s="144" t="str">
        <x:v>2003-04</x:v>
      </x:c>
      <x:c r="B46" s="145" t="n">
        <x:v>679</x:v>
      </x:c>
      <x:c r="C46" s="145" t="n">
        <x:v>447.5</x:v>
      </x:c>
      <x:c r="D46" s="145" t="n">
        <x:v>100</x:v>
      </x:c>
      <x:c r="E46" s="145" t="n">
        <x:v>100</x:v>
      </x:c>
      <x:c r="F46" s="145" t="n">
        <x:v>231.5</x:v>
      </x:c>
      <x:c r="G46" s="145" t="n">
        <x:v>0.4162</x:v>
      </x:c>
    </x:row>
    <x:row r="47" ht="18" customHeight="1">
      <x:c r="A47" s="144" t="str">
        <x:v>2003-05</x:v>
      </x:c>
      <x:c r="B47" s="145" t="n">
        <x:v>759</x:v>
      </x:c>
      <x:c r="C47" s="145" t="n">
        <x:v>622.6</x:v>
      </x:c>
      <x:c r="D47" s="145" t="n">
        <x:v>100</x:v>
      </x:c>
      <x:c r="E47" s="145" t="n">
        <x:v>96.8</x:v>
      </x:c>
      <x:c r="F47" s="145" t="n">
        <x:v>136.4</x:v>
      </x:c>
      <x:c r="G47" s="145" t="n">
        <x:v>0.1978</x:v>
      </x:c>
    </x:row>
    <x:row r="48" ht="18" customHeight="1">
      <x:c r="A48" s="144" t="str">
        <x:v>2003-06</x:v>
      </x:c>
      <x:c r="B48" s="145" t="n">
        <x:v>231</x:v>
      </x:c>
      <x:c r="C48" s="145" t="n">
        <x:v>262.3</x:v>
      </x:c>
      <x:c r="D48" s="145" t="n">
        <x:v>100</x:v>
      </x:c>
      <x:c r="E48" s="145" t="n">
        <x:v>93.3</x:v>
      </x:c>
      <x:c r="F48" s="145" t="n">
        <x:v>-31.3</x:v>
      </x:c>
      <x:c r="G48" s="145" t="n">
        <x:v>-0.1266</x:v>
      </x:c>
    </x:row>
    <x:row r="49" ht="18" customHeight="1">
      <x:c r="A49" s="144" t="str">
        <x:v>2003-08</x:v>
      </x:c>
      <x:c r="B49" s="145" t="n">
        <x:v>506</x:v>
      </x:c>
      <x:c r="C49" s="145" t="n">
        <x:v>403</x:v>
      </x:c>
      <x:c r="D49" s="145" t="n">
        <x:v>100</x:v>
      </x:c>
      <x:c r="E49" s="145" t="n">
        <x:v>100</x:v>
      </x:c>
      <x:c r="F49" s="145" t="n">
        <x:v>103</x:v>
      </x:c>
      <x:c r="G49" s="145" t="n">
        <x:v>0.2271</x:v>
      </x:c>
    </x:row>
    <x:row r="50" ht="18" customHeight="1">
      <x:c r="A50" s="144" t="str">
        <x:v>2003-09</x:v>
      </x:c>
      <x:c r="B50" s="145" t="n">
        <x:v>562</x:v>
      </x:c>
      <x:c r="C50" s="145" t="n">
        <x:v>181.9</x:v>
      </x:c>
      <x:c r="D50" s="145" t="n">
        <x:v>100</x:v>
      </x:c>
      <x:c r="E50" s="145" t="n">
        <x:v>100</x:v>
      </x:c>
      <x:c r="F50" s="145" t="n">
        <x:v>380.1</x:v>
      </x:c>
      <x:c r="G50" s="145" t="n">
        <x:v>1.1243</x:v>
      </x:c>
    </x:row>
    <x:row r="51" ht="18" customHeight="1">
      <x:c r="A51" s="144" t="str">
        <x:v>2003-10</x:v>
      </x:c>
      <x:c r="B51" s="145" t="n">
        <x:v>554</x:v>
      </x:c>
      <x:c r="C51" s="145" t="n">
        <x:v>139.3</x:v>
      </x:c>
      <x:c r="D51" s="145" t="n">
        <x:v>100</x:v>
      </x:c>
      <x:c r="E51" s="145" t="n">
        <x:v>96.8</x:v>
      </x:c>
      <x:c r="F51" s="145" t="n">
        <x:v>414.7</x:v>
      </x:c>
      <x:c r="G51" s="145" t="n">
        <x:v>1.3752</x:v>
      </x:c>
    </x:row>
    <x:row r="52" ht="18" customHeight="1">
      <x:c r="A52" s="144" t="str">
        <x:v>2003-11</x:v>
      </x:c>
      <x:c r="B52" s="145" t="n">
        <x:v>237</x:v>
      </x:c>
      <x:c r="C52" s="145" t="n">
        <x:v>281.9</x:v>
      </x:c>
      <x:c r="D52" s="145" t="n">
        <x:v>100</x:v>
      </x:c>
      <x:c r="E52" s="145" t="n">
        <x:v>100</x:v>
      </x:c>
      <x:c r="F52" s="145" t="n">
        <x:v>-44.9</x:v>
      </x:c>
      <x:c r="G52" s="145" t="n">
        <x:v>-0.1728</x:v>
      </x:c>
    </x:row>
    <x:row r="53" ht="18" customHeight="1">
      <x:c r="A53" s="144" t="str">
        <x:v>2003-12</x:v>
      </x:c>
      <x:c r="B53" s="145" t="n">
        <x:v>305</x:v>
      </x:c>
      <x:c r="C53" s="145" t="n">
        <x:v>296.3</x:v>
      </x:c>
      <x:c r="D53" s="145" t="n">
        <x:v>100</x:v>
      </x:c>
      <x:c r="E53" s="145" t="n">
        <x:v>100</x:v>
      </x:c>
      <x:c r="F53" s="145" t="n">
        <x:v>8.7</x:v>
      </x:c>
      <x:c r="G53" s="145" t="n">
        <x:v>0.0288</x:v>
      </x:c>
    </x:row>
    <x:row r="54" ht="18" customHeight="1">
      <x:c r="A54" s="144" t="str">
        <x:v>2004-01</x:v>
      </x:c>
      <x:c r="B54" s="145" t="n">
        <x:v>623</x:v>
      </x:c>
      <x:c r="C54" s="145" t="n">
        <x:v>377.9</x:v>
      </x:c>
      <x:c r="D54" s="145" t="n">
        <x:v>100</x:v>
      </x:c>
      <x:c r="E54" s="145" t="n">
        <x:v>100</x:v>
      </x:c>
      <x:c r="F54" s="145" t="n">
        <x:v>245.1</x:v>
      </x:c>
      <x:c r="G54" s="145" t="n">
        <x:v>0.4989</x:v>
      </x:c>
    </x:row>
    <x:row r="55" ht="18" customHeight="1">
      <x:c r="A55" s="144" t="str">
        <x:v>2004-02</x:v>
      </x:c>
      <x:c r="B55" s="145" t="n">
        <x:v>292</x:v>
      </x:c>
      <x:c r="C55" s="145" t="n">
        <x:v>180.3</x:v>
      </x:c>
      <x:c r="D55" s="145" t="n">
        <x:v>100</x:v>
      </x:c>
      <x:c r="E55" s="145" t="n">
        <x:v>100</x:v>
      </x:c>
      <x:c r="F55" s="145" t="n">
        <x:v>111.7</x:v>
      </x:c>
      <x:c r="G55" s="145" t="n">
        <x:v>0.48</x:v>
      </x:c>
    </x:row>
    <x:row r="56" ht="18" customHeight="1">
      <x:c r="A56" s="144" t="str">
        <x:v>2004-03</x:v>
      </x:c>
      <x:c r="B56" s="145" t="n">
        <x:v>137</x:v>
      </x:c>
      <x:c r="C56" s="145" t="n">
        <x:v>99.2</x:v>
      </x:c>
      <x:c r="D56" s="145" t="n">
        <x:v>100</x:v>
      </x:c>
      <x:c r="E56" s="145" t="n">
        <x:v>100</x:v>
      </x:c>
      <x:c r="F56" s="145" t="n">
        <x:v>37.8</x:v>
      </x:c>
      <x:c r="G56" s="145" t="n">
        <x:v>0.3201</x:v>
      </x:c>
    </x:row>
    <x:row r="57" ht="18" customHeight="1">
      <x:c r="A57" s="144" t="str">
        <x:v>2004-04</x:v>
      </x:c>
      <x:c r="B57" s="145" t="n">
        <x:v>408</x:v>
      </x:c>
      <x:c r="C57" s="145" t="n">
        <x:v>223.7</x:v>
      </x:c>
      <x:c r="D57" s="145" t="n">
        <x:v>100</x:v>
      </x:c>
      <x:c r="E57" s="145" t="n">
        <x:v>100</x:v>
      </x:c>
      <x:c r="F57" s="145" t="n">
        <x:v>184.3</x:v>
      </x:c>
      <x:c r="G57" s="145" t="n">
        <x:v>0.5989</x:v>
      </x:c>
    </x:row>
    <x:row r="58" ht="18" customHeight="1">
      <x:c r="A58" s="144" t="str">
        <x:v>2004-05</x:v>
      </x:c>
      <x:c r="B58" s="145" t="n">
        <x:v>662</x:v>
      </x:c>
      <x:c r="C58" s="145" t="n">
        <x:v>441.5</x:v>
      </x:c>
      <x:c r="D58" s="145" t="n">
        <x:v>100</x:v>
      </x:c>
      <x:c r="E58" s="145" t="n">
        <x:v>100</x:v>
      </x:c>
      <x:c r="F58" s="145" t="n">
        <x:v>220.5</x:v>
      </x:c>
      <x:c r="G58" s="145" t="n">
        <x:v>0.4043</x:v>
      </x:c>
    </x:row>
    <x:row r="59" ht="18" customHeight="1">
      <x:c r="A59" s="144" t="str">
        <x:v>2004-06</x:v>
      </x:c>
      <x:c r="B59" s="145" t="n">
        <x:v>141</x:v>
      </x:c>
      <x:c r="C59" s="145" t="n">
        <x:v>70.9</x:v>
      </x:c>
      <x:c r="D59" s="145" t="n">
        <x:v>100</x:v>
      </x:c>
      <x:c r="E59" s="145" t="n">
        <x:v>100</x:v>
      </x:c>
      <x:c r="F59" s="145" t="n">
        <x:v>70.1</x:v>
      </x:c>
      <x:c r="G59" s="145" t="n">
        <x:v>0.6806</x:v>
      </x:c>
    </x:row>
    <x:row r="60" ht="18" customHeight="1">
      <x:c r="A60" s="144" t="str">
        <x:v>2004-07</x:v>
      </x:c>
      <x:c r="B60" s="145" t="n">
        <x:v>145</x:v>
      </x:c>
      <x:c r="C60" s="145" t="n">
        <x:v>173.4</x:v>
      </x:c>
      <x:c r="D60" s="145" t="n">
        <x:v>100</x:v>
      </x:c>
      <x:c r="E60" s="145" t="n">
        <x:v>96.8</x:v>
      </x:c>
      <x:c r="F60" s="145" t="n">
        <x:v>-28.4</x:v>
      </x:c>
      <x:c r="G60" s="145" t="n">
        <x:v>-0.1777</x:v>
      </x:c>
    </x:row>
    <x:row r="61" ht="18" customHeight="1">
      <x:c r="A61" s="144" t="str">
        <x:v>2004-08</x:v>
      </x:c>
      <x:c r="B61" s="145" t="n">
        <x:v>0</x:v>
      </x:c>
      <x:c r="C61" s="145" t="n">
        <x:v>21.1</x:v>
      </x:c>
      <x:c r="D61" s="145" t="n">
        <x:v>100</x:v>
      </x:c>
      <x:c r="E61" s="145" t="n">
        <x:v>100</x:v>
      </x:c>
      <x:c r="F61" s="145" t="n">
        <x:v>-21.1</x:v>
      </x:c>
      <x:c r="G61" s="145" t="n">
        <x:v>-3.0956</x:v>
      </x:c>
    </x:row>
    <x:row r="62" ht="18" customHeight="1">
      <x:c r="A62" s="144" t="str">
        <x:v>2004-09</x:v>
      </x:c>
      <x:c r="B62" s="145" t="n">
        <x:v>205</x:v>
      </x:c>
      <x:c r="C62" s="145" t="n">
        <x:v>292.3</x:v>
      </x:c>
      <x:c r="D62" s="145" t="n">
        <x:v>100</x:v>
      </x:c>
      <x:c r="E62" s="145" t="n">
        <x:v>100</x:v>
      </x:c>
      <x:c r="F62" s="145" t="n">
        <x:v>-87.3</x:v>
      </x:c>
      <x:c r="G62" s="145" t="n">
        <x:v>-0.3533</x:v>
      </x:c>
    </x:row>
    <x:row r="63" ht="18" customHeight="1">
      <x:c r="A63" s="144" t="str">
        <x:v>2004-10</x:v>
      </x:c>
      <x:c r="B63" s="145" t="n">
        <x:v>161</x:v>
      </x:c>
      <x:c r="C63" s="145" t="n">
        <x:v>159.4</x:v>
      </x:c>
      <x:c r="D63" s="145" t="n">
        <x:v>100</x:v>
      </x:c>
      <x:c r="E63" s="145" t="n">
        <x:v>93.5</x:v>
      </x:c>
      <x:c r="F63" s="145" t="n">
        <x:v>1.6</x:v>
      </x:c>
      <x:c r="G63" s="145" t="n">
        <x:v>0.0099</x:v>
      </x:c>
    </x:row>
    <x:row r="64" ht="18" customHeight="1">
      <x:c r="A64" s="144" t="str">
        <x:v>2004-11</x:v>
      </x:c>
      <x:c r="B64" s="145" t="n">
        <x:v>191</x:v>
      </x:c>
      <x:c r="C64" s="145" t="n">
        <x:v>65.2</x:v>
      </x:c>
      <x:c r="D64" s="145" t="n">
        <x:v>100</x:v>
      </x:c>
      <x:c r="E64" s="145" t="n">
        <x:v>100</x:v>
      </x:c>
      <x:c r="F64" s="145" t="n">
        <x:v>125.8</x:v>
      </x:c>
      <x:c r="G64" s="145" t="n">
        <x:v>1.0648</x:v>
      </x:c>
    </x:row>
    <x:row r="65" ht="18" customHeight="1">
      <x:c r="A65" s="144" t="str">
        <x:v>2005-01</x:v>
      </x:c>
      <x:c r="B65" s="145" t="n">
        <x:v>216</x:v>
      </x:c>
      <x:c r="C65" s="145" t="n">
        <x:v>244</x:v>
      </x:c>
      <x:c r="D65" s="145" t="n">
        <x:v>100</x:v>
      </x:c>
      <x:c r="E65" s="145" t="n">
        <x:v>100</x:v>
      </x:c>
      <x:c r="F65" s="145" t="n">
        <x:v>-28</x:v>
      </x:c>
      <x:c r="G65" s="145" t="n">
        <x:v>-0.1214</x:v>
      </x:c>
    </x:row>
    <x:row r="66" ht="18" customHeight="1">
      <x:c r="A66" s="144" t="str">
        <x:v>2005-02</x:v>
      </x:c>
      <x:c r="B66" s="145" t="n">
        <x:v>116</x:v>
      </x:c>
      <x:c r="C66" s="145" t="n">
        <x:v>123</x:v>
      </x:c>
      <x:c r="D66" s="145" t="n">
        <x:v>100</x:v>
      </x:c>
      <x:c r="E66" s="145" t="n">
        <x:v>100</x:v>
      </x:c>
      <x:c r="F66" s="145" t="n">
        <x:v>-7</x:v>
      </x:c>
      <x:c r="G66" s="145" t="n">
        <x:v>-0.0581</x:v>
      </x:c>
    </x:row>
    <x:row r="67" ht="18" customHeight="1">
      <x:c r="A67" s="144" t="str">
        <x:v>2005-03</x:v>
      </x:c>
      <x:c r="B67" s="145" t="n">
        <x:v>422</x:v>
      </x:c>
      <x:c r="C67" s="145" t="n">
        <x:v>367.4</x:v>
      </x:c>
      <x:c r="D67" s="145" t="n">
        <x:v>100</x:v>
      </x:c>
      <x:c r="E67" s="145" t="n">
        <x:v>100</x:v>
      </x:c>
      <x:c r="F67" s="145" t="n">
        <x:v>54.6</x:v>
      </x:c>
      <x:c r="G67" s="145" t="n">
        <x:v>0.1382</x:v>
      </x:c>
    </x:row>
    <x:row r="68" ht="18" customHeight="1">
      <x:c r="A68" s="144" t="str">
        <x:v>2005-04</x:v>
      </x:c>
      <x:c r="B68" s="145" t="n">
        <x:v>689</x:v>
      </x:c>
      <x:c r="C68" s="145" t="n">
        <x:v>616.9</x:v>
      </x:c>
      <x:c r="D68" s="145" t="n">
        <x:v>100</x:v>
      </x:c>
      <x:c r="E68" s="145" t="n">
        <x:v>100</x:v>
      </x:c>
      <x:c r="F68" s="145" t="n">
        <x:v>72.1</x:v>
      </x:c>
      <x:c r="G68" s="145" t="n">
        <x:v>0.1104</x:v>
      </x:c>
    </x:row>
    <x:row r="69" ht="18" customHeight="1">
      <x:c r="A69" s="144" t="str">
        <x:v>2005-05</x:v>
      </x:c>
      <x:c r="B69" s="145" t="n">
        <x:v>163</x:v>
      </x:c>
      <x:c r="C69" s="145" t="n">
        <x:v>238.3</x:v>
      </x:c>
      <x:c r="D69" s="145" t="n">
        <x:v>100</x:v>
      </x:c>
      <x:c r="E69" s="145" t="n">
        <x:v>100</x:v>
      </x:c>
      <x:c r="F69" s="145" t="n">
        <x:v>-75.3</x:v>
      </x:c>
      <x:c r="G69" s="145" t="n">
        <x:v>-0.3779</x:v>
      </x:c>
    </x:row>
    <x:row r="70" ht="18" customHeight="1">
      <x:c r="A70" s="144" t="str">
        <x:v>2005-06</x:v>
      </x:c>
      <x:c r="B70" s="145" t="n">
        <x:v>92</x:v>
      </x:c>
      <x:c r="C70" s="145" t="n">
        <x:v>99.3</x:v>
      </x:c>
      <x:c r="D70" s="145" t="n">
        <x:v>100</x:v>
      </x:c>
      <x:c r="E70" s="145" t="n">
        <x:v>100</x:v>
      </x:c>
      <x:c r="F70" s="145" t="n">
        <x:v>-7.3</x:v>
      </x:c>
      <x:c r="G70" s="145" t="n">
        <x:v>-0.0756</x:v>
      </x:c>
    </x:row>
    <x:row r="71" ht="18" customHeight="1">
      <x:c r="A71" s="144" t="str">
        <x:v>2005-07</x:v>
      </x:c>
      <x:c r="B71" s="145" t="n">
        <x:v>11</x:v>
      </x:c>
      <x:c r="C71" s="145" t="n">
        <x:v>40.5</x:v>
      </x:c>
      <x:c r="D71" s="145" t="n">
        <x:v>100</x:v>
      </x:c>
      <x:c r="E71" s="145" t="n">
        <x:v>100</x:v>
      </x:c>
      <x:c r="F71" s="145" t="n">
        <x:v>-29.5</x:v>
      </x:c>
      <x:c r="G71" s="145" t="n">
        <x:v>-1.2408</x:v>
      </x:c>
    </x:row>
    <x:row r="72" ht="18" customHeight="1">
      <x:c r="A72" s="144" t="str">
        <x:v>2005-08</x:v>
      </x:c>
      <x:c r="B72" s="145" t="n">
        <x:v>44</x:v>
      </x:c>
      <x:c r="C72" s="145" t="n">
        <x:v>27</x:v>
      </x:c>
      <x:c r="D72" s="145" t="n">
        <x:v>100</x:v>
      </x:c>
      <x:c r="E72" s="145" t="n">
        <x:v>100</x:v>
      </x:c>
      <x:c r="F72" s="145" t="n">
        <x:v>17</x:v>
      </x:c>
      <x:c r="G72" s="145" t="n">
        <x:v>0.4745</x:v>
      </x:c>
    </x:row>
    <x:row r="73" ht="18" customHeight="1">
      <x:c r="A73" s="144" t="str">
        <x:v>2005-09</x:v>
      </x:c>
      <x:c r="B73" s="145" t="n">
        <x:v>73</x:v>
      </x:c>
      <x:c r="C73" s="145" t="n">
        <x:v>78.7</x:v>
      </x:c>
      <x:c r="D73" s="145" t="n">
        <x:v>100</x:v>
      </x:c>
      <x:c r="E73" s="145" t="n">
        <x:v>100</x:v>
      </x:c>
      <x:c r="F73" s="145" t="n">
        <x:v>-5.7</x:v>
      </x:c>
      <x:c r="G73" s="145" t="n">
        <x:v>-0.0742</x:v>
      </x:c>
    </x:row>
    <x:row r="74" ht="18" customHeight="1">
      <x:c r="A74" s="144" t="str">
        <x:v>2005-10</x:v>
      </x:c>
      <x:c r="B74" s="145" t="n">
        <x:v>14</x:v>
      </x:c>
      <x:c r="C74" s="145" t="n">
        <x:v>19.6</x:v>
      </x:c>
      <x:c r="D74" s="145" t="n">
        <x:v>100</x:v>
      </x:c>
      <x:c r="E74" s="145" t="n">
        <x:v>100</x:v>
      </x:c>
      <x:c r="F74" s="145" t="n">
        <x:v>-5.6</x:v>
      </x:c>
      <x:c r="G74" s="145" t="n">
        <x:v>-0.3172</x:v>
      </x:c>
    </x:row>
    <x:row r="75" ht="18" customHeight="1">
      <x:c r="A75" s="144" t="str">
        <x:v>2005-11</x:v>
      </x:c>
      <x:c r="B75" s="145" t="n">
        <x:v>71</x:v>
      </x:c>
      <x:c r="C75" s="145" t="n">
        <x:v>120</x:v>
      </x:c>
      <x:c r="D75" s="145" t="n">
        <x:v>100</x:v>
      </x:c>
      <x:c r="E75" s="145" t="n">
        <x:v>100</x:v>
      </x:c>
      <x:c r="F75" s="145" t="n">
        <x:v>-49</x:v>
      </x:c>
      <x:c r="G75" s="145" t="n">
        <x:v>-0.5191</x:v>
      </x:c>
    </x:row>
    <x:row r="76" ht="18" customHeight="1">
      <x:c r="A76" s="144" t="str">
        <x:v>2005-12</x:v>
      </x:c>
      <x:c r="B76" s="145" t="n">
        <x:v>118</x:v>
      </x:c>
      <x:c r="C76" s="145" t="n">
        <x:v>150.1</x:v>
      </x:c>
      <x:c r="D76" s="145" t="n">
        <x:v>100</x:v>
      </x:c>
      <x:c r="E76" s="145" t="n">
        <x:v>100</x:v>
      </x:c>
      <x:c r="F76" s="145" t="n">
        <x:v>-32.1</x:v>
      </x:c>
      <x:c r="G76" s="145" t="n">
        <x:v>-0.2388</x:v>
      </x:c>
    </x:row>
    <x:row r="77" ht="18" customHeight="1">
      <x:c r="A77" s="144" t="str">
        <x:v>2006-01</x:v>
      </x:c>
      <x:c r="B77" s="145" t="n">
        <x:v>240</x:v>
      </x:c>
      <x:c r="C77" s="145" t="n">
        <x:v>184.1</x:v>
      </x:c>
      <x:c r="D77" s="145" t="n">
        <x:v>100</x:v>
      </x:c>
      <x:c r="E77" s="145" t="n">
        <x:v>100</x:v>
      </x:c>
      <x:c r="F77" s="145" t="n">
        <x:v>55.9</x:v>
      </x:c>
      <x:c r="G77" s="145" t="n">
        <x:v>0.2639</x:v>
      </x:c>
    </x:row>
    <x:row r="78" ht="18" customHeight="1">
      <x:c r="A78" s="144" t="str">
        <x:v>2006-02</x:v>
      </x:c>
      <x:c r="B78" s="145" t="n">
        <x:v>382</x:v>
      </x:c>
      <x:c r="C78" s="145" t="n">
        <x:v>299.9</x:v>
      </x:c>
      <x:c r="D78" s="145" t="n">
        <x:v>100</x:v>
      </x:c>
      <x:c r="E78" s="145" t="n">
        <x:v>96.4</x:v>
      </x:c>
      <x:c r="F78" s="145" t="n">
        <x:v>82.1</x:v>
      </x:c>
      <x:c r="G78" s="145" t="n">
        <x:v>0.2413</x:v>
      </x:c>
    </x:row>
    <x:row r="79" ht="18" customHeight="1">
      <x:c r="A79" s="144" t="str">
        <x:v>2006-03</x:v>
      </x:c>
      <x:c r="B79" s="145" t="n">
        <x:v>341</x:v>
      </x:c>
      <x:c r="C79" s="145" t="n">
        <x:v>174</x:v>
      </x:c>
      <x:c r="D79" s="145" t="n">
        <x:v>100</x:v>
      </x:c>
      <x:c r="E79" s="145" t="n">
        <x:v>100</x:v>
      </x:c>
      <x:c r="F79" s="145" t="n">
        <x:v>167</x:v>
      </x:c>
      <x:c r="G79" s="145" t="n">
        <x:v>0.67</x:v>
      </x:c>
    </x:row>
    <x:row r="80" ht="18" customHeight="1">
      <x:c r="A80" s="144" t="str">
        <x:v>2006-04</x:v>
      </x:c>
      <x:c r="B80" s="145" t="n">
        <x:v>161</x:v>
      </x:c>
      <x:c r="C80" s="145" t="n">
        <x:v>229.4</x:v>
      </x:c>
      <x:c r="D80" s="145" t="n">
        <x:v>100</x:v>
      </x:c>
      <x:c r="E80" s="145" t="n">
        <x:v>100</x:v>
      </x:c>
      <x:c r="F80" s="145" t="n">
        <x:v>-68.4</x:v>
      </x:c>
      <x:c r="G80" s="145" t="n">
        <x:v>-0.3522</x:v>
      </x:c>
    </x:row>
    <x:row r="81" ht="18" customHeight="1">
      <x:c r="A81" s="144" t="str">
        <x:v>2006-05</x:v>
      </x:c>
      <x:c r="B81" s="145" t="n">
        <x:v>165</x:v>
      </x:c>
      <x:c r="C81" s="145" t="n">
        <x:v>195.5</x:v>
      </x:c>
      <x:c r="D81" s="145" t="n">
        <x:v>93.5</x:v>
      </x:c>
      <x:c r="E81" s="145" t="n">
        <x:v>100</x:v>
      </x:c>
      <x:c r="F81" s="145" t="n">
        <x:v>-30.5</x:v>
      </x:c>
      <x:c r="G81" s="145" t="n">
        <x:v>-0.1687</x:v>
      </x:c>
    </x:row>
    <x:row r="82" ht="18" customHeight="1">
      <x:c r="A82" s="144" t="str">
        <x:v>2006-06</x:v>
      </x:c>
      <x:c r="B82" s="145" t="n">
        <x:v>346</x:v>
      </x:c>
      <x:c r="C82" s="145" t="n">
        <x:v>281</x:v>
      </x:c>
      <x:c r="D82" s="145" t="n">
        <x:v>96.7</x:v>
      </x:c>
      <x:c r="E82" s="145" t="n">
        <x:v>100</x:v>
      </x:c>
      <x:c r="F82" s="145" t="n">
        <x:v>65</x:v>
      </x:c>
      <x:c r="G82" s="145" t="n">
        <x:v>0.2074</x:v>
      </x:c>
    </x:row>
    <x:row r="83" ht="18" customHeight="1">
      <x:c r="A83" s="144" t="str">
        <x:v>2006-07</x:v>
      </x:c>
      <x:c r="B83" s="145" t="n">
        <x:v>43</x:v>
      </x:c>
      <x:c r="C83" s="145" t="n">
        <x:v>131.7</x:v>
      </x:c>
      <x:c r="D83" s="145" t="n">
        <x:v>100</x:v>
      </x:c>
      <x:c r="E83" s="145" t="n">
        <x:v>100</x:v>
      </x:c>
      <x:c r="F83" s="145" t="n">
        <x:v>-88.7</x:v>
      </x:c>
      <x:c r="G83" s="145" t="n">
        <x:v>-1.1039</x:v>
      </x:c>
    </x:row>
    <x:row r="84" ht="18" customHeight="1">
      <x:c r="A84" s="144" t="str">
        <x:v>2006-08</x:v>
      </x:c>
      <x:c r="B84" s="145" t="n">
        <x:v>156</x:v>
      </x:c>
      <x:c r="C84" s="145" t="n">
        <x:v>162.2</x:v>
      </x:c>
      <x:c r="D84" s="145" t="n">
        <x:v>96.8</x:v>
      </x:c>
      <x:c r="E84" s="145" t="n">
        <x:v>100</x:v>
      </x:c>
      <x:c r="F84" s="145" t="n">
        <x:v>-6.2</x:v>
      </x:c>
      <x:c r="G84" s="145" t="n">
        <x:v>-0.0387</x:v>
      </x:c>
    </x:row>
    <x:row r="85" ht="18" customHeight="1">
      <x:c r="A85" s="144" t="str">
        <x:v>2006-11</x:v>
      </x:c>
      <x:c r="B85" s="145" t="n">
        <x:v>418</x:v>
      </x:c>
      <x:c r="C85" s="145" t="n">
        <x:v>254</x:v>
      </x:c>
      <x:c r="D85" s="145" t="n">
        <x:v>100</x:v>
      </x:c>
      <x:c r="E85" s="145" t="n">
        <x:v>100</x:v>
      </x:c>
      <x:c r="F85" s="145" t="n">
        <x:v>164</x:v>
      </x:c>
      <x:c r="G85" s="145" t="n">
        <x:v>0.4966</x:v>
      </x:c>
    </x:row>
    <x:row r="86" ht="18" customHeight="1">
      <x:c r="A86" s="144" t="str">
        <x:v>2006-12</x:v>
      </x:c>
      <x:c r="B86" s="145" t="n">
        <x:v>46</x:v>
      </x:c>
      <x:c r="C86" s="145" t="n">
        <x:v>161.2</x:v>
      </x:c>
      <x:c r="D86" s="145" t="n">
        <x:v>100</x:v>
      </x:c>
      <x:c r="E86" s="145" t="n">
        <x:v>100</x:v>
      </x:c>
      <x:c r="F86" s="145" t="n">
        <x:v>-115.2</x:v>
      </x:c>
      <x:c r="G86" s="145" t="n">
        <x:v>-1.2387</x:v>
      </x:c>
    </x:row>
    <x:row r="87" ht="18" customHeight="1">
      <x:c r="A87" s="144" t="str">
        <x:v>2007-01</x:v>
      </x:c>
      <x:c r="B87" s="145" t="n">
        <x:v>224</x:v>
      </x:c>
      <x:c r="C87" s="145" t="n">
        <x:v>130.7</x:v>
      </x:c>
      <x:c r="D87" s="145" t="n">
        <x:v>100</x:v>
      </x:c>
      <x:c r="E87" s="145" t="n">
        <x:v>100</x:v>
      </x:c>
      <x:c r="F87" s="145" t="n">
        <x:v>93.3</x:v>
      </x:c>
      <x:c r="G87" s="145" t="n">
        <x:v>0.5356</x:v>
      </x:c>
    </x:row>
    <x:row r="88" ht="18" customHeight="1">
      <x:c r="A88" s="144" t="str">
        <x:v>2007-02</x:v>
      </x:c>
      <x:c r="B88" s="145" t="n">
        <x:v>262</x:v>
      </x:c>
      <x:c r="C88" s="145" t="n">
        <x:v>135.5</x:v>
      </x:c>
      <x:c r="D88" s="145" t="n">
        <x:v>100</x:v>
      </x:c>
      <x:c r="E88" s="145" t="n">
        <x:v>100</x:v>
      </x:c>
      <x:c r="F88" s="145" t="n">
        <x:v>126.5</x:v>
      </x:c>
      <x:c r="G88" s="145" t="n">
        <x:v>0.6558</x:v>
      </x:c>
    </x:row>
    <x:row r="89" ht="18" customHeight="1">
      <x:c r="A89" s="144" t="str">
        <x:v>2007-03</x:v>
      </x:c>
      <x:c r="B89" s="145" t="n">
        <x:v>248</x:v>
      </x:c>
      <x:c r="C89" s="145" t="n">
        <x:v>224.5</x:v>
      </x:c>
      <x:c r="D89" s="145" t="n">
        <x:v>96.8</x:v>
      </x:c>
      <x:c r="E89" s="145" t="n">
        <x:v>100</x:v>
      </x:c>
      <x:c r="F89" s="145" t="n">
        <x:v>23.5</x:v>
      </x:c>
      <x:c r="G89" s="145" t="n">
        <x:v>0.0991</x:v>
      </x:c>
    </x:row>
    <x:row r="90" ht="18" customHeight="1">
      <x:c r="A90" s="144" t="str">
        <x:v>2007-05</x:v>
      </x:c>
      <x:c r="B90" s="145" t="n">
        <x:v>773</x:v>
      </x:c>
      <x:c r="C90" s="145" t="n">
        <x:v>760.6</x:v>
      </x:c>
      <x:c r="D90" s="145" t="n">
        <x:v>100</x:v>
      </x:c>
      <x:c r="E90" s="145" t="n">
        <x:v>100</x:v>
      </x:c>
      <x:c r="F90" s="145" t="n">
        <x:v>12.4</x:v>
      </x:c>
      <x:c r="G90" s="145" t="n">
        <x:v>0.0162</x:v>
      </x:c>
    </x:row>
    <x:row r="91" ht="18" customHeight="1">
      <x:c r="A91" s="144" t="str">
        <x:v>2007-06</x:v>
      </x:c>
      <x:c r="B91" s="145" t="n">
        <x:v>480</x:v>
      </x:c>
      <x:c r="C91" s="145" t="n">
        <x:v>383.5</x:v>
      </x:c>
      <x:c r="D91" s="145" t="n">
        <x:v>100</x:v>
      </x:c>
      <x:c r="E91" s="145" t="n">
        <x:v>100</x:v>
      </x:c>
      <x:c r="F91" s="145" t="n">
        <x:v>96.5</x:v>
      </x:c>
      <x:c r="G91" s="145" t="n">
        <x:v>0.2239</x:v>
      </x:c>
    </x:row>
    <x:row r="92" ht="18" customHeight="1">
      <x:c r="A92" s="144" t="str">
        <x:v>2007-07</x:v>
      </x:c>
      <x:c r="B92" s="145" t="n">
        <x:v>151</x:v>
      </x:c>
      <x:c r="C92" s="145" t="n">
        <x:v>190</x:v>
      </x:c>
      <x:c r="D92" s="145" t="n">
        <x:v>100</x:v>
      </x:c>
      <x:c r="E92" s="145" t="n">
        <x:v>100</x:v>
      </x:c>
      <x:c r="F92" s="145" t="n">
        <x:v>-39</x:v>
      </x:c>
      <x:c r="G92" s="145" t="n">
        <x:v>-0.2284</x:v>
      </x:c>
    </x:row>
    <x:row r="93" ht="18" customHeight="1">
      <x:c r="A93" s="144" t="str">
        <x:v>2007-08</x:v>
      </x:c>
      <x:c r="B93" s="145" t="n">
        <x:v>140</x:v>
      </x:c>
      <x:c r="C93" s="145" t="n">
        <x:v>125</x:v>
      </x:c>
      <x:c r="D93" s="145" t="n">
        <x:v>100</x:v>
      </x:c>
      <x:c r="E93" s="145" t="n">
        <x:v>100</x:v>
      </x:c>
      <x:c r="F93" s="145" t="n">
        <x:v>15</x:v>
      </x:c>
      <x:c r="G93" s="145" t="n">
        <x:v>0.1125</x:v>
      </x:c>
    </x:row>
    <x:row r="94" ht="18" customHeight="1">
      <x:c r="A94" s="144" t="str">
        <x:v>2007-09</x:v>
      </x:c>
      <x:c r="B94" s="145" t="n">
        <x:v>95</x:v>
      </x:c>
      <x:c r="C94" s="145" t="n">
        <x:v>112</x:v>
      </x:c>
      <x:c r="D94" s="145" t="n">
        <x:v>100</x:v>
      </x:c>
      <x:c r="E94" s="145" t="n">
        <x:v>100</x:v>
      </x:c>
      <x:c r="F94" s="145" t="n">
        <x:v>-17</x:v>
      </x:c>
      <x:c r="G94" s="145" t="n">
        <x:v>-0.163</x:v>
      </x:c>
    </x:row>
    <x:row r="95" ht="18" customHeight="1">
      <x:c r="A95" s="144" t="str">
        <x:v>2007-10</x:v>
      </x:c>
      <x:c r="B95" s="145" t="n">
        <x:v>65</x:v>
      </x:c>
      <x:c r="C95" s="145" t="n">
        <x:v>116.7</x:v>
      </x:c>
      <x:c r="D95" s="145" t="n">
        <x:v>100</x:v>
      </x:c>
      <x:c r="E95" s="145" t="n">
        <x:v>100</x:v>
      </x:c>
      <x:c r="F95" s="145" t="n">
        <x:v>-51.7</x:v>
      </x:c>
      <x:c r="G95" s="145" t="n">
        <x:v>-0.5785</x:v>
      </x:c>
    </x:row>
    <x:row r="96" ht="18" customHeight="1">
      <x:c r="A96" s="144" t="str">
        <x:v>2007-11</x:v>
      </x:c>
      <x:c r="B96" s="145" t="n">
        <x:v>88</x:v>
      </x:c>
      <x:c r="C96" s="145" t="n">
        <x:v>76</x:v>
      </x:c>
      <x:c r="D96" s="145" t="n">
        <x:v>100</x:v>
      </x:c>
      <x:c r="E96" s="145" t="n">
        <x:v>100</x:v>
      </x:c>
      <x:c r="F96" s="145" t="n">
        <x:v>12</x:v>
      </x:c>
      <x:c r="G96" s="145" t="n">
        <x:v>0.1448</x:v>
      </x:c>
    </x:row>
    <x:row r="97" ht="18" customHeight="1">
      <x:c r="A97" s="144" t="str">
        <x:v>2007-12</x:v>
      </x:c>
      <x:c r="B97" s="145" t="n">
        <x:v>71</x:v>
      </x:c>
      <x:c r="C97" s="145" t="n">
        <x:v>238.2</x:v>
      </x:c>
      <x:c r="D97" s="145" t="n">
        <x:v>100</x:v>
      </x:c>
      <x:c r="E97" s="145" t="n">
        <x:v>100</x:v>
      </x:c>
      <x:c r="F97" s="145" t="n">
        <x:v>-167.2</x:v>
      </x:c>
      <x:c r="G97" s="145" t="n">
        <x:v>-1.2006</x:v>
      </x:c>
    </x:row>
    <x:row r="98" ht="18" customHeight="1">
      <x:c r="A98" s="144" t="str">
        <x:v>2008-02</x:v>
      </x:c>
      <x:c r="B98" s="145" t="n">
        <x:v>332</x:v>
      </x:c>
      <x:c r="C98" s="145" t="n">
        <x:v>258.7</x:v>
      </x:c>
      <x:c r="D98" s="145" t="n">
        <x:v>100</x:v>
      </x:c>
      <x:c r="E98" s="145" t="n">
        <x:v>100</x:v>
      </x:c>
      <x:c r="F98" s="145" t="n">
        <x:v>73.3</x:v>
      </x:c>
      <x:c r="G98" s="145" t="n">
        <x:v>0.2486</x:v>
      </x:c>
    </x:row>
    <x:row r="99" ht="18" customHeight="1">
      <x:c r="A99" s="144" t="str">
        <x:v>2008-03</x:v>
      </x:c>
      <x:c r="B99" s="145" t="n">
        <x:v>230</x:v>
      </x:c>
      <x:c r="C99" s="145" t="n">
        <x:v>257.6</x:v>
      </x:c>
      <x:c r="D99" s="145" t="n">
        <x:v>100</x:v>
      </x:c>
      <x:c r="E99" s="145" t="n">
        <x:v>100</x:v>
      </x:c>
      <x:c r="F99" s="145" t="n">
        <x:v>-27.6</x:v>
      </x:c>
      <x:c r="G99" s="145" t="n">
        <x:v>-0.1129</x:v>
      </x:c>
    </x:row>
    <x:row r="100" ht="18" customHeight="1">
      <x:c r="A100" s="144" t="str">
        <x:v>2008-04</x:v>
      </x:c>
      <x:c r="B100" s="145" t="n">
        <x:v>237</x:v>
      </x:c>
      <x:c r="C100" s="145" t="n">
        <x:v>150.4</x:v>
      </x:c>
      <x:c r="D100" s="145" t="n">
        <x:v>100</x:v>
      </x:c>
      <x:c r="E100" s="145" t="n">
        <x:v>100</x:v>
      </x:c>
      <x:c r="F100" s="145" t="n">
        <x:v>86.6</x:v>
      </x:c>
      <x:c r="G100" s="145" t="n">
        <x:v>0.4523</x:v>
      </x:c>
    </x:row>
    <x:row r="101" ht="18" customHeight="1">
      <x:c r="A101" s="144" t="str">
        <x:v>2008-05</x:v>
      </x:c>
      <x:c r="B101" s="145" t="n">
        <x:v>463</x:v>
      </x:c>
      <x:c r="C101" s="145" t="n">
        <x:v>297.2</x:v>
      </x:c>
      <x:c r="D101" s="145" t="n">
        <x:v>100</x:v>
      </x:c>
      <x:c r="E101" s="145" t="n">
        <x:v>100</x:v>
      </x:c>
      <x:c r="F101" s="145" t="n">
        <x:v>165.8</x:v>
      </x:c>
      <x:c r="G101" s="145" t="n">
        <x:v>0.4421</x:v>
      </x:c>
    </x:row>
    <x:row r="102" ht="18" customHeight="1">
      <x:c r="A102" s="144" t="str">
        <x:v>2008-06</x:v>
      </x:c>
      <x:c r="B102" s="145" t="n">
        <x:v>286</x:v>
      </x:c>
      <x:c r="C102" s="145" t="n">
        <x:v>278.5</x:v>
      </x:c>
      <x:c r="D102" s="145" t="n">
        <x:v>100</x:v>
      </x:c>
      <x:c r="E102" s="145" t="n">
        <x:v>100</x:v>
      </x:c>
      <x:c r="F102" s="145" t="n">
        <x:v>7.5</x:v>
      </x:c>
      <x:c r="G102" s="145" t="n">
        <x:v>0.0265</x:v>
      </x:c>
    </x:row>
    <x:row r="103" ht="18" customHeight="1">
      <x:c r="A103" s="144" t="str">
        <x:v>2008-10</x:v>
      </x:c>
      <x:c r="B103" s="145" t="n">
        <x:v>413</x:v>
      </x:c>
      <x:c r="C103" s="145" t="n">
        <x:v>272</x:v>
      </x:c>
      <x:c r="D103" s="145" t="n">
        <x:v>100</x:v>
      </x:c>
      <x:c r="E103" s="145" t="n">
        <x:v>96.8</x:v>
      </x:c>
      <x:c r="F103" s="145" t="n">
        <x:v>141</x:v>
      </x:c>
      <x:c r="G103" s="145" t="n">
        <x:v>0.4164</x:v>
      </x:c>
    </x:row>
    <x:row r="104" ht="18" customHeight="1">
      <x:c r="A104" s="144" t="str">
        <x:v>2008-11</x:v>
      </x:c>
      <x:c r="B104" s="145" t="n">
        <x:v>121</x:v>
      </x:c>
      <x:c r="C104" s="145" t="n">
        <x:v>67.2</x:v>
      </x:c>
      <x:c r="D104" s="145" t="n">
        <x:v>100</x:v>
      </x:c>
      <x:c r="E104" s="145" t="n">
        <x:v>100</x:v>
      </x:c>
      <x:c r="F104" s="145" t="n">
        <x:v>53.8</x:v>
      </x:c>
      <x:c r="G104" s="145" t="n">
        <x:v>0.5816</x:v>
      </x:c>
    </x:row>
    <x:row r="105" ht="18" customHeight="1">
      <x:c r="A105" s="144" t="str">
        <x:v>2008-12</x:v>
      </x:c>
      <x:c r="B105" s="145" t="n">
        <x:v>84</x:v>
      </x:c>
      <x:c r="C105" s="145" t="n">
        <x:v>80.5</x:v>
      </x:c>
      <x:c r="D105" s="145" t="n">
        <x:v>100</x:v>
      </x:c>
      <x:c r="E105" s="145" t="n">
        <x:v>100</x:v>
      </x:c>
      <x:c r="F105" s="145" t="n">
        <x:v>3.5</x:v>
      </x:c>
      <x:c r="G105" s="145" t="n">
        <x:v>0.042</x:v>
      </x:c>
    </x:row>
    <x:row r="106" ht="18" customHeight="1">
      <x:c r="A106" s="144" t="str">
        <x:v>2009-01</x:v>
      </x:c>
      <x:c r="B106" s="145" t="n">
        <x:v>78</x:v>
      </x:c>
      <x:c r="C106" s="145" t="n">
        <x:v>151.1</x:v>
      </x:c>
      <x:c r="D106" s="145" t="n">
        <x:v>100</x:v>
      </x:c>
      <x:c r="E106" s="145" t="n">
        <x:v>100</x:v>
      </x:c>
      <x:c r="F106" s="145" t="n">
        <x:v>-73.1</x:v>
      </x:c>
      <x:c r="G106" s="145" t="n">
        <x:v>-0.6551</x:v>
      </x:c>
    </x:row>
    <x:row r="107" ht="18" customHeight="1">
      <x:c r="A107" s="144" t="str">
        <x:v>2009-02</x:v>
      </x:c>
      <x:c r="B107" s="145" t="n">
        <x:v>38</x:v>
      </x:c>
      <x:c r="C107" s="145" t="n">
        <x:v>188</x:v>
      </x:c>
      <x:c r="D107" s="145" t="n">
        <x:v>100</x:v>
      </x:c>
      <x:c r="E107" s="145" t="n">
        <x:v>96.4</x:v>
      </x:c>
      <x:c r="F107" s="145" t="n">
        <x:v>-150</x:v>
      </x:c>
      <x:c r="G107" s="145" t="n">
        <x:v>-1.5782</x:v>
      </x:c>
    </x:row>
    <x:row r="108" ht="18" customHeight="1">
      <x:c r="A108" s="144" t="str">
        <x:v>2009-03</x:v>
      </x:c>
      <x:c r="B108" s="145" t="n">
        <x:v>119</x:v>
      </x:c>
      <x:c r="C108" s="145" t="n">
        <x:v>162.3</x:v>
      </x:c>
      <x:c r="D108" s="145" t="n">
        <x:v>100</x:v>
      </x:c>
      <x:c r="E108" s="145" t="n">
        <x:v>100</x:v>
      </x:c>
      <x:c r="F108" s="145" t="n">
        <x:v>-43.3</x:v>
      </x:c>
      <x:c r="G108" s="145" t="n">
        <x:v>-0.3081</x:v>
      </x:c>
    </x:row>
    <x:row r="109" ht="18" customHeight="1">
      <x:c r="A109" s="144" t="str">
        <x:v>2009-04</x:v>
      </x:c>
      <x:c r="B109" s="145" t="n">
        <x:v>234</x:v>
      </x:c>
      <x:c r="C109" s="145" t="n">
        <x:v>170.6</x:v>
      </x:c>
      <x:c r="D109" s="145" t="n">
        <x:v>100</x:v>
      </x:c>
      <x:c r="E109" s="145" t="n">
        <x:v>100</x:v>
      </x:c>
      <x:c r="F109" s="145" t="n">
        <x:v>63.4</x:v>
      </x:c>
      <x:c r="G109" s="145" t="n">
        <x:v>0.3144</x:v>
      </x:c>
    </x:row>
    <x:row r="110" ht="18" customHeight="1">
      <x:c r="A110" s="144" t="str">
        <x:v>2009-06</x:v>
      </x:c>
      <x:c r="B110" s="145" t="n">
        <x:v>192</x:v>
      </x:c>
      <x:c r="C110" s="145" t="n">
        <x:v>97.5</x:v>
      </x:c>
      <x:c r="D110" s="145" t="n">
        <x:v>100</x:v>
      </x:c>
      <x:c r="E110" s="145" t="n">
        <x:v>100</x:v>
      </x:c>
      <x:c r="F110" s="145" t="n">
        <x:v>94.5</x:v>
      </x:c>
      <x:c r="G110" s="145" t="n">
        <x:v>0.6726</x:v>
      </x:c>
    </x:row>
    <x:row r="111" ht="18" customHeight="1">
      <x:c r="A111" s="144" t="str">
        <x:v>2009-07</x:v>
      </x:c>
      <x:c r="B111" s="145" t="n">
        <x:v>233</x:v>
      </x:c>
      <x:c r="C111" s="145" t="n">
        <x:v>199</x:v>
      </x:c>
      <x:c r="D111" s="145" t="n">
        <x:v>100</x:v>
      </x:c>
      <x:c r="E111" s="145" t="n">
        <x:v>96.8</x:v>
      </x:c>
      <x:c r="F111" s="145" t="n">
        <x:v>34</x:v>
      </x:c>
      <x:c r="G111" s="145" t="n">
        <x:v>0.157</x:v>
      </x:c>
    </x:row>
    <x:row r="112" ht="18" customHeight="1">
      <x:c r="A112" s="144" t="str">
        <x:v>2009-08</x:v>
      </x:c>
      <x:c r="B112" s="145" t="n">
        <x:v>209</x:v>
      </x:c>
      <x:c r="C112" s="145" t="n">
        <x:v>181</x:v>
      </x:c>
      <x:c r="D112" s="145" t="n">
        <x:v>96.8</x:v>
      </x:c>
      <x:c r="E112" s="145" t="n">
        <x:v>100</x:v>
      </x:c>
      <x:c r="F112" s="145" t="n">
        <x:v>28</x:v>
      </x:c>
      <x:c r="G112" s="145" t="n">
        <x:v>0.1431</x:v>
      </x:c>
    </x:row>
    <x:row r="113" ht="18" customHeight="1">
      <x:c r="A113" s="144" t="str">
        <x:v>2009-09</x:v>
      </x:c>
      <x:c r="B113" s="145" t="n">
        <x:v>2</x:v>
      </x:c>
      <x:c r="C113" s="145" t="n">
        <x:v>32.1</x:v>
      </x:c>
      <x:c r="D113" s="145" t="n">
        <x:v>100</x:v>
      </x:c>
      <x:c r="E113" s="145" t="n">
        <x:v>100</x:v>
      </x:c>
      <x:c r="F113" s="145" t="n">
        <x:v>-30.1</x:v>
      </x:c>
      <x:c r="G113" s="145" t="n">
        <x:v>-2.4009</x:v>
      </x:c>
    </x:row>
    <x:row r="114" ht="18" customHeight="1">
      <x:c r="A114" s="144" t="str">
        <x:v>2009-10</x:v>
      </x:c>
      <x:c r="B114" s="145" t="n">
        <x:v>26</x:v>
      </x:c>
      <x:c r="C114" s="145" t="n">
        <x:v>29.8</x:v>
      </x:c>
      <x:c r="D114" s="145" t="n">
        <x:v>100</x:v>
      </x:c>
      <x:c r="E114" s="145" t="n">
        <x:v>100</x:v>
      </x:c>
      <x:c r="F114" s="145" t="n">
        <x:v>-3.8</x:v>
      </x:c>
      <x:c r="G114" s="145" t="n">
        <x:v>-0.1317</x:v>
      </x:c>
    </x:row>
    <x:row r="115" ht="18" customHeight="1">
      <x:c r="A115" s="144" t="str">
        <x:v>2009-11</x:v>
      </x:c>
      <x:c r="B115" s="145" t="n">
        <x:v>28</x:v>
      </x:c>
      <x:c r="C115" s="145" t="n">
        <x:v>32.2</x:v>
      </x:c>
      <x:c r="D115" s="145" t="n">
        <x:v>100</x:v>
      </x:c>
      <x:c r="E115" s="145" t="n">
        <x:v>100</x:v>
      </x:c>
      <x:c r="F115" s="145" t="n">
        <x:v>-4.2</x:v>
      </x:c>
      <x:c r="G115" s="145" t="n">
        <x:v>-0.1353</x:v>
      </x:c>
    </x:row>
    <x:row r="116" ht="18" customHeight="1">
      <x:c r="A116" s="144" t="str">
        <x:v>2009-12</x:v>
      </x:c>
      <x:c r="B116" s="145" t="n">
        <x:v>211</x:v>
      </x:c>
      <x:c r="C116" s="145" t="n">
        <x:v>256.2</x:v>
      </x:c>
      <x:c r="D116" s="145" t="n">
        <x:v>100</x:v>
      </x:c>
      <x:c r="E116" s="145" t="n">
        <x:v>100</x:v>
      </x:c>
      <x:c r="F116" s="145" t="n">
        <x:v>-45.2</x:v>
      </x:c>
      <x:c r="G116" s="145" t="n">
        <x:v>-0.1933</x:v>
      </x:c>
    </x:row>
    <x:row r="117" ht="18" customHeight="1">
      <x:c r="A117" s="144" t="str">
        <x:v>2010-01</x:v>
      </x:c>
      <x:c r="B117" s="145" t="n">
        <x:v>243</x:v>
      </x:c>
      <x:c r="C117" s="145" t="n">
        <x:v>298.5</x:v>
      </x:c>
      <x:c r="D117" s="145" t="n">
        <x:v>100</x:v>
      </x:c>
      <x:c r="E117" s="145" t="n">
        <x:v>100</x:v>
      </x:c>
      <x:c r="F117" s="145" t="n">
        <x:v>-55.5</x:v>
      </x:c>
      <x:c r="G117" s="145" t="n">
        <x:v>-0.2049</x:v>
      </x:c>
    </x:row>
    <x:row r="118" ht="18" customHeight="1">
      <x:c r="A118" s="144" t="str">
        <x:v>2010-02</x:v>
      </x:c>
      <x:c r="B118" s="145" t="n">
        <x:v>214</x:v>
      </x:c>
      <x:c r="C118" s="145" t="n">
        <x:v>352.5</x:v>
      </x:c>
      <x:c r="D118" s="145" t="n">
        <x:v>100</x:v>
      </x:c>
      <x:c r="E118" s="145" t="n">
        <x:v>100</x:v>
      </x:c>
      <x:c r="F118" s="145" t="n">
        <x:v>-138.5</x:v>
      </x:c>
      <x:c r="G118" s="145" t="n">
        <x:v>-0.4972</x:v>
      </x:c>
    </x:row>
    <x:row r="119" ht="18" customHeight="1">
      <x:c r="A119" s="144" t="str">
        <x:v>2010-03</x:v>
      </x:c>
      <x:c r="B119" s="145" t="n">
        <x:v>417</x:v>
      </x:c>
      <x:c r="C119" s="145" t="n">
        <x:v>436.6</x:v>
      </x:c>
      <x:c r="D119" s="145" t="n">
        <x:v>100</x:v>
      </x:c>
      <x:c r="E119" s="145" t="n">
        <x:v>100</x:v>
      </x:c>
      <x:c r="F119" s="145" t="n">
        <x:v>-19.6</x:v>
      </x:c>
      <x:c r="G119" s="145" t="n">
        <x:v>-0.0458</x:v>
      </x:c>
    </x:row>
    <x:row r="120" ht="18" customHeight="1">
      <x:c r="A120" s="144" t="str">
        <x:v>2010-04</x:v>
      </x:c>
      <x:c r="B120" s="145" t="n">
        <x:v>413</x:v>
      </x:c>
      <x:c r="C120" s="145" t="n">
        <x:v>479.5</x:v>
      </x:c>
      <x:c r="D120" s="145" t="n">
        <x:v>100</x:v>
      </x:c>
      <x:c r="E120" s="145" t="n">
        <x:v>100</x:v>
      </x:c>
      <x:c r="F120" s="145" t="n">
        <x:v>-66.5</x:v>
      </x:c>
      <x:c r="G120" s="145" t="n">
        <x:v>-0.149</x:v>
      </x:c>
    </x:row>
    <x:row r="121" ht="18" customHeight="1">
      <x:c r="A121" s="144" t="str">
        <x:v>2010-05</x:v>
      </x:c>
      <x:c r="B121" s="145" t="n">
        <x:v>171</x:v>
      </x:c>
      <x:c r="C121" s="145" t="n">
        <x:v>212.4</x:v>
      </x:c>
      <x:c r="D121" s="145" t="n">
        <x:v>100</x:v>
      </x:c>
      <x:c r="E121" s="145" t="n">
        <x:v>100</x:v>
      </x:c>
      <x:c r="F121" s="145" t="n">
        <x:v>-41.4</x:v>
      </x:c>
      <x:c r="G121" s="145" t="n">
        <x:v>-0.2157</x:v>
      </x:c>
    </x:row>
    <x:row r="122" ht="18" customHeight="1">
      <x:c r="A122" s="144" t="str">
        <x:v>2010-06</x:v>
      </x:c>
      <x:c r="B122" s="145" t="n">
        <x:v>308</x:v>
      </x:c>
      <x:c r="C122" s="145" t="n">
        <x:v>463.5</x:v>
      </x:c>
      <x:c r="D122" s="145" t="n">
        <x:v>100</x:v>
      </x:c>
      <x:c r="E122" s="145" t="n">
        <x:v>100</x:v>
      </x:c>
      <x:c r="F122" s="145" t="n">
        <x:v>-155.5</x:v>
      </x:c>
      <x:c r="G122" s="145" t="n">
        <x:v>-0.4076</x:v>
      </x:c>
    </x:row>
    <x:row r="123" ht="18" customHeight="1">
      <x:c r="A123" s="144" t="str">
        <x:v>2010-07</x:v>
      </x:c>
      <x:c r="B123" s="145" t="n">
        <x:v>121</x:v>
      </x:c>
      <x:c r="C123" s="145" t="n">
        <x:v>171.4</x:v>
      </x:c>
      <x:c r="D123" s="145" t="n">
        <x:v>100</x:v>
      </x:c>
      <x:c r="E123" s="145" t="n">
        <x:v>100</x:v>
      </x:c>
      <x:c r="F123" s="145" t="n">
        <x:v>-50.4</x:v>
      </x:c>
      <x:c r="G123" s="145" t="n">
        <x:v>-0.3458</x:v>
      </x:c>
    </x:row>
    <x:row r="124" ht="18" customHeight="1">
      <x:c r="A124" s="144" t="str">
        <x:v>2010-08</x:v>
      </x:c>
      <x:c r="B124" s="145" t="n">
        <x:v>25</x:v>
      </x:c>
      <x:c r="C124" s="145" t="n">
        <x:v>43.8</x:v>
      </x:c>
      <x:c r="D124" s="145" t="n">
        <x:v>100</x:v>
      </x:c>
      <x:c r="E124" s="145" t="n">
        <x:v>100</x:v>
      </x:c>
      <x:c r="F124" s="145" t="n">
        <x:v>-18.8</x:v>
      </x:c>
      <x:c r="G124" s="145" t="n">
        <x:v>-0.5441</x:v>
      </x:c>
    </x:row>
    <x:row r="125" ht="18" customHeight="1">
      <x:c r="A125" s="144" t="str">
        <x:v>2010-09</x:v>
      </x:c>
      <x:c r="B125" s="145" t="n">
        <x:v>249</x:v>
      </x:c>
      <x:c r="C125" s="145" t="n">
        <x:v>343.6</x:v>
      </x:c>
      <x:c r="D125" s="145" t="n">
        <x:v>100</x:v>
      </x:c>
      <x:c r="E125" s="145" t="n">
        <x:v>100</x:v>
      </x:c>
      <x:c r="F125" s="145" t="n">
        <x:v>-94.6</x:v>
      </x:c>
      <x:c r="G125" s="145" t="n">
        <x:v>-0.3209</x:v>
      </x:c>
    </x:row>
    <x:row r="126" ht="18" customHeight="1">
      <x:c r="A126" s="144" t="str">
        <x:v>2010-10</x:v>
      </x:c>
      <x:c r="B126" s="145" t="n">
        <x:v>130</x:v>
      </x:c>
      <x:c r="C126" s="145" t="n">
        <x:v>64.5</x:v>
      </x:c>
      <x:c r="D126" s="145" t="n">
        <x:v>100</x:v>
      </x:c>
      <x:c r="E126" s="145" t="n">
        <x:v>100</x:v>
      </x:c>
      <x:c r="F126" s="145" t="n">
        <x:v>65.5</x:v>
      </x:c>
      <x:c r="G126" s="145" t="n">
        <x:v>0.6931</x:v>
      </x:c>
    </x:row>
    <x:row r="127" ht="18" customHeight="1">
      <x:c r="A127" s="144" t="str">
        <x:v>2010-11</x:v>
      </x:c>
      <x:c r="B127" s="145" t="n">
        <x:v>229</x:v>
      </x:c>
      <x:c r="C127" s="145" t="n">
        <x:v>271.7</x:v>
      </x:c>
      <x:c r="D127" s="145" t="n">
        <x:v>100</x:v>
      </x:c>
      <x:c r="E127" s="145" t="n">
        <x:v>100</x:v>
      </x:c>
      <x:c r="F127" s="145" t="n">
        <x:v>-42.7</x:v>
      </x:c>
      <x:c r="G127" s="145" t="n">
        <x:v>-0.1703</x:v>
      </x:c>
    </x:row>
    <x:row r="128" ht="18" customHeight="1">
      <x:c r="A128" s="144" t="str">
        <x:v>2010-12</x:v>
      </x:c>
      <x:c r="B128" s="145" t="n">
        <x:v>378</x:v>
      </x:c>
      <x:c r="C128" s="145" t="n">
        <x:v>491.8</x:v>
      </x:c>
      <x:c r="D128" s="145" t="n">
        <x:v>100</x:v>
      </x:c>
      <x:c r="E128" s="145" t="n">
        <x:v>100</x:v>
      </x:c>
      <x:c r="F128" s="145" t="n">
        <x:v>-113.8</x:v>
      </x:c>
      <x:c r="G128" s="145" t="n">
        <x:v>-0.2626</x:v>
      </x:c>
    </x:row>
    <x:row r="129" ht="18" customHeight="1">
      <x:c r="A129" s="144" t="str">
        <x:v>2011-01</x:v>
      </x:c>
      <x:c r="B129" s="145" t="n">
        <x:v>290</x:v>
      </x:c>
      <x:c r="C129" s="145" t="n">
        <x:v>294</x:v>
      </x:c>
      <x:c r="D129" s="145" t="n">
        <x:v>100</x:v>
      </x:c>
      <x:c r="E129" s="145" t="n">
        <x:v>100</x:v>
      </x:c>
      <x:c r="F129" s="145" t="n">
        <x:v>-4</x:v>
      </x:c>
      <x:c r="G129" s="145" t="n">
        <x:v>-0.0137</x:v>
      </x:c>
    </x:row>
    <x:row r="130" ht="18" customHeight="1">
      <x:c r="A130" s="144" t="str">
        <x:v>2011-02</x:v>
      </x:c>
      <x:c r="B130" s="145" t="n">
        <x:v>103</x:v>
      </x:c>
      <x:c r="C130" s="145" t="n">
        <x:v>157.3</x:v>
      </x:c>
      <x:c r="D130" s="145" t="n">
        <x:v>100</x:v>
      </x:c>
      <x:c r="E130" s="145" t="n">
        <x:v>100</x:v>
      </x:c>
      <x:c r="F130" s="145" t="n">
        <x:v>-54.3</x:v>
      </x:c>
      <x:c r="G130" s="145" t="n">
        <x:v>-0.4201</x:v>
      </x:c>
    </x:row>
    <x:row r="131" ht="18" customHeight="1">
      <x:c r="A131" s="144" t="str">
        <x:v>2011-03</x:v>
      </x:c>
      <x:c r="B131" s="145" t="n">
        <x:v>121</x:v>
      </x:c>
      <x:c r="C131" s="145" t="n">
        <x:v>164.1</x:v>
      </x:c>
      <x:c r="D131" s="145" t="n">
        <x:v>100</x:v>
      </x:c>
      <x:c r="E131" s="145" t="n">
        <x:v>100</x:v>
      </x:c>
      <x:c r="F131" s="145" t="n">
        <x:v>-43.1</x:v>
      </x:c>
      <x:c r="G131" s="145" t="n">
        <x:v>-0.3025</x:v>
      </x:c>
    </x:row>
    <x:row r="132" ht="18" customHeight="1">
      <x:c r="A132" s="144" t="str">
        <x:v>2011-04</x:v>
      </x:c>
      <x:c r="B132" s="145" t="n">
        <x:v>290</x:v>
      </x:c>
      <x:c r="C132" s="145" t="n">
        <x:v>267.4</x:v>
      </x:c>
      <x:c r="D132" s="145" t="n">
        <x:v>100</x:v>
      </x:c>
      <x:c r="E132" s="145" t="n">
        <x:v>100</x:v>
      </x:c>
      <x:c r="F132" s="145" t="n">
        <x:v>22.6</x:v>
      </x:c>
      <x:c r="G132" s="145" t="n">
        <x:v>0.0808</x:v>
      </x:c>
    </x:row>
    <x:row r="133" ht="18" customHeight="1">
      <x:c r="A133" s="144" t="str">
        <x:v>2011-05</x:v>
      </x:c>
      <x:c r="B133" s="145" t="n">
        <x:v>101</x:v>
      </x:c>
      <x:c r="C133" s="145" t="n">
        <x:v>152.2</x:v>
      </x:c>
      <x:c r="D133" s="145" t="n">
        <x:v>100</x:v>
      </x:c>
      <x:c r="E133" s="145" t="n">
        <x:v>100</x:v>
      </x:c>
      <x:c r="F133" s="145" t="n">
        <x:v>-51.2</x:v>
      </x:c>
      <x:c r="G133" s="145" t="n">
        <x:v>-0.4068</x:v>
      </x:c>
    </x:row>
    <x:row r="134" ht="18" customHeight="1">
      <x:c r="A134" s="144" t="str">
        <x:v>2011-06</x:v>
      </x:c>
      <x:c r="B134" s="145" t="n">
        <x:v>127</x:v>
      </x:c>
      <x:c r="C134" s="145" t="n">
        <x:v>193.2</x:v>
      </x:c>
      <x:c r="D134" s="145" t="n">
        <x:v>100</x:v>
      </x:c>
      <x:c r="E134" s="145" t="n">
        <x:v>100</x:v>
      </x:c>
      <x:c r="F134" s="145" t="n">
        <x:v>-66.2</x:v>
      </x:c>
      <x:c r="G134" s="145" t="n">
        <x:v>-0.4169</x:v>
      </x:c>
    </x:row>
    <x:row r="135" ht="18" customHeight="1">
      <x:c r="A135" s="144" t="str">
        <x:v>2011-07</x:v>
      </x:c>
      <x:c r="B135" s="145" t="n">
        <x:v>197</x:v>
      </x:c>
      <x:c r="C135" s="145" t="n">
        <x:v>299.1</x:v>
      </x:c>
      <x:c r="D135" s="145" t="n">
        <x:v>100</x:v>
      </x:c>
      <x:c r="E135" s="145" t="n">
        <x:v>100</x:v>
      </x:c>
      <x:c r="F135" s="145" t="n">
        <x:v>-102.1</x:v>
      </x:c>
      <x:c r="G135" s="145" t="n">
        <x:v>-0.4158</x:v>
      </x:c>
    </x:row>
    <x:row r="136" ht="18" customHeight="1">
      <x:c r="A136" s="144" t="str">
        <x:v>2011-08</x:v>
      </x:c>
      <x:c r="B136" s="145" t="n">
        <x:v>152</x:v>
      </x:c>
      <x:c r="C136" s="145" t="n">
        <x:v>158.3</x:v>
      </x:c>
      <x:c r="D136" s="145" t="n">
        <x:v>100</x:v>
      </x:c>
      <x:c r="E136" s="145" t="n">
        <x:v>100</x:v>
      </x:c>
      <x:c r="F136" s="145" t="n">
        <x:v>-6.3</x:v>
      </x:c>
      <x:c r="G136" s="145" t="n">
        <x:v>-0.0404</x:v>
      </x:c>
    </x:row>
    <x:row r="137" ht="18" customHeight="1">
      <x:c r="A137" s="144" t="str">
        <x:v>2011-09</x:v>
      </x:c>
      <x:c r="B137" s="145" t="n">
        <x:v>56</x:v>
      </x:c>
      <x:c r="C137" s="145" t="n">
        <x:v>102.3</x:v>
      </x:c>
      <x:c r="D137" s="145" t="n">
        <x:v>100</x:v>
      </x:c>
      <x:c r="E137" s="145" t="n">
        <x:v>100</x:v>
      </x:c>
      <x:c r="F137" s="145" t="n">
        <x:v>-46.3</x:v>
      </x:c>
      <x:c r="G137" s="145" t="n">
        <x:v>-0.5946</x:v>
      </x:c>
    </x:row>
    <x:row r="138" ht="18" customHeight="1">
      <x:c r="A138" s="144" t="str">
        <x:v>2011-10</x:v>
      </x:c>
      <x:c r="B138" s="145" t="n">
        <x:v>129</x:v>
      </x:c>
      <x:c r="C138" s="145" t="n">
        <x:v>157.7</x:v>
      </x:c>
      <x:c r="D138" s="145" t="n">
        <x:v>100</x:v>
      </x:c>
      <x:c r="E138" s="145" t="n">
        <x:v>100</x:v>
      </x:c>
      <x:c r="F138" s="145" t="n">
        <x:v>-28.7</x:v>
      </x:c>
      <x:c r="G138" s="145" t="n">
        <x:v>-0.1995</x:v>
      </x:c>
    </x:row>
    <x:row r="139" ht="18" customHeight="1">
      <x:c r="A139" s="144" t="str">
        <x:v>2011-11</x:v>
      </x:c>
      <x:c r="B139" s="145" t="n">
        <x:v>0</x:v>
      </x:c>
      <x:c r="C139" s="145" t="n">
        <x:v>5.8</x:v>
      </x:c>
      <x:c r="D139" s="145" t="n">
        <x:v>100</x:v>
      </x:c>
      <x:c r="E139" s="145" t="n">
        <x:v>100</x:v>
      </x:c>
      <x:c r="F139" s="145" t="n">
        <x:v>-5.8</x:v>
      </x:c>
      <x:c r="G139" s="145" t="n">
        <x:v>-1.9169</x:v>
      </x:c>
    </x:row>
    <x:row r="140" ht="18" customHeight="1">
      <x:c r="A140" s="144" t="str">
        <x:v>2011-12</x:v>
      </x:c>
      <x:c r="B140" s="145" t="n">
        <x:v>50</x:v>
      </x:c>
      <x:c r="C140" s="145" t="n">
        <x:v>132.6</x:v>
      </x:c>
      <x:c r="D140" s="145" t="n">
        <x:v>100</x:v>
      </x:c>
      <x:c r="E140" s="145" t="n">
        <x:v>100</x:v>
      </x:c>
      <x:c r="F140" s="145" t="n">
        <x:v>-82.6</x:v>
      </x:c>
      <x:c r="G140" s="145" t="n">
        <x:v>-0.963</x:v>
      </x:c>
    </x:row>
    <x:row r="141" ht="18" customHeight="1">
      <x:c r="A141" s="144" t="str">
        <x:v>2012-01</x:v>
      </x:c>
      <x:c r="B141" s="145" t="n">
        <x:v>499</x:v>
      </x:c>
      <x:c r="C141" s="145" t="n">
        <x:v>660.9</x:v>
      </x:c>
      <x:c r="D141" s="145" t="n">
        <x:v>100</x:v>
      </x:c>
      <x:c r="E141" s="145" t="n">
        <x:v>100</x:v>
      </x:c>
      <x:c r="F141" s="145" t="n">
        <x:v>-161.9</x:v>
      </x:c>
      <x:c r="G141" s="145" t="n">
        <x:v>-0.2805</x:v>
      </x:c>
    </x:row>
    <x:row r="142" ht="18" customHeight="1">
      <x:c r="A142" s="144" t="str">
        <x:v>2012-02</x:v>
      </x:c>
      <x:c r="B142" s="145" t="n">
        <x:v>255</x:v>
      </x:c>
      <x:c r="C142" s="145" t="n">
        <x:v>272.4</x:v>
      </x:c>
      <x:c r="D142" s="145" t="n">
        <x:v>100</x:v>
      </x:c>
      <x:c r="E142" s="145" t="n">
        <x:v>100</x:v>
      </x:c>
      <x:c r="F142" s="145" t="n">
        <x:v>-17.4</x:v>
      </x:c>
      <x:c r="G142" s="145" t="n">
        <x:v>-0.0658</x:v>
      </x:c>
    </x:row>
    <x:row r="143" ht="18" customHeight="1">
      <x:c r="A143" s="144" t="str">
        <x:v>2012-03</x:v>
      </x:c>
      <x:c r="B143" s="145" t="n">
        <x:v>212</x:v>
      </x:c>
      <x:c r="C143" s="145" t="n">
        <x:v>226.5</x:v>
      </x:c>
      <x:c r="D143" s="145" t="n">
        <x:v>100</x:v>
      </x:c>
      <x:c r="E143" s="145" t="n">
        <x:v>100</x:v>
      </x:c>
      <x:c r="F143" s="145" t="n">
        <x:v>-14.5</x:v>
      </x:c>
      <x:c r="G143" s="145" t="n">
        <x:v>-0.0659</x:v>
      </x:c>
    </x:row>
    <x:row r="144" ht="18" customHeight="1">
      <x:c r="A144" s="144" t="str">
        <x:v>2012-04</x:v>
      </x:c>
      <x:c r="B144" s="145" t="n">
        <x:v>318</x:v>
      </x:c>
      <x:c r="C144" s="145" t="n">
        <x:v>367.5</x:v>
      </x:c>
      <x:c r="D144" s="145" t="n">
        <x:v>100</x:v>
      </x:c>
      <x:c r="E144" s="145" t="n">
        <x:v>100</x:v>
      </x:c>
      <x:c r="F144" s="145" t="n">
        <x:v>-49.5</x:v>
      </x:c>
      <x:c r="G144" s="145" t="n">
        <x:v>-0.1442</x:v>
      </x:c>
    </x:row>
    <x:row r="145" ht="18" customHeight="1">
      <x:c r="A145" s="144" t="str">
        <x:v>2012-05</x:v>
      </x:c>
      <x:c r="B145" s="145" t="n">
        <x:v>554</x:v>
      </x:c>
      <x:c r="C145" s="145" t="n">
        <x:v>731.6</x:v>
      </x:c>
      <x:c r="D145" s="145" t="n">
        <x:v>100</x:v>
      </x:c>
      <x:c r="E145" s="145" t="n">
        <x:v>100</x:v>
      </x:c>
      <x:c r="F145" s="145" t="n">
        <x:v>-177.6</x:v>
      </x:c>
      <x:c r="G145" s="145" t="n">
        <x:v>-0.2776</x:v>
      </x:c>
    </x:row>
    <x:row r="146" ht="18" customHeight="1">
      <x:c r="A146" s="144" t="str">
        <x:v>2012-06</x:v>
      </x:c>
      <x:c r="B146" s="145" t="n">
        <x:v>265</x:v>
      </x:c>
      <x:c r="C146" s="145" t="n">
        <x:v>360.1</x:v>
      </x:c>
      <x:c r="D146" s="145" t="n">
        <x:v>96.7</x:v>
      </x:c>
      <x:c r="E146" s="145" t="n">
        <x:v>100</x:v>
      </x:c>
      <x:c r="F146" s="145" t="n">
        <x:v>-95.1</x:v>
      </x:c>
      <x:c r="G146" s="145" t="n">
        <x:v>-0.3057</x:v>
      </x:c>
    </x:row>
    <x:row r="147" ht="18" customHeight="1">
      <x:c r="A147" s="144" t="str">
        <x:v>2012-07</x:v>
      </x:c>
      <x:c r="B147" s="145" t="n">
        <x:v>55</x:v>
      </x:c>
      <x:c r="C147" s="145" t="n">
        <x:v>104.3</x:v>
      </x:c>
      <x:c r="D147" s="145" t="n">
        <x:v>100</x:v>
      </x:c>
      <x:c r="E147" s="145" t="n">
        <x:v>100</x:v>
      </x:c>
      <x:c r="F147" s="145" t="n">
        <x:v>-49.3</x:v>
      </x:c>
      <x:c r="G147" s="145" t="n">
        <x:v>-0.6315</x:v>
      </x:c>
    </x:row>
    <x:row r="148" ht="18" customHeight="1">
      <x:c r="A148" s="144" t="str">
        <x:v>2012-08</x:v>
      </x:c>
      <x:c r="B148" s="145" t="n">
        <x:v>33</x:v>
      </x:c>
      <x:c r="C148" s="145" t="n">
        <x:v>65</x:v>
      </x:c>
      <x:c r="D148" s="145" t="n">
        <x:v>100</x:v>
      </x:c>
      <x:c r="E148" s="145" t="n">
        <x:v>100</x:v>
      </x:c>
      <x:c r="F148" s="145" t="n">
        <x:v>-32</x:v>
      </x:c>
      <x:c r="G148" s="145" t="n">
        <x:v>-0.6633</x:v>
      </x:c>
    </x:row>
    <x:row r="149" ht="18" customHeight="1">
      <x:c r="A149" s="144" t="str">
        <x:v>2012-09</x:v>
      </x:c>
      <x:c r="B149" s="145" t="n">
        <x:v>62</x:v>
      </x:c>
      <x:c r="C149" s="145" t="n">
        <x:v>57.2</x:v>
      </x:c>
      <x:c r="D149" s="145" t="n">
        <x:v>100</x:v>
      </x:c>
      <x:c r="E149" s="145" t="n">
        <x:v>100</x:v>
      </x:c>
      <x:c r="F149" s="145" t="n">
        <x:v>4.8</x:v>
      </x:c>
      <x:c r="G149" s="145" t="n">
        <x:v>0.0792</x:v>
      </x:c>
    </x:row>
    <x:row r="150" ht="18" customHeight="1">
      <x:c r="A150" s="144" t="str">
        <x:v>2012-10</x:v>
      </x:c>
      <x:c r="B150" s="145" t="n">
        <x:v>78</x:v>
      </x:c>
      <x:c r="C150" s="145" t="n">
        <x:v>88.6</x:v>
      </x:c>
      <x:c r="D150" s="145" t="n">
        <x:v>100</x:v>
      </x:c>
      <x:c r="E150" s="145" t="n">
        <x:v>100</x:v>
      </x:c>
      <x:c r="F150" s="145" t="n">
        <x:v>-10.6</x:v>
      </x:c>
      <x:c r="G150" s="145" t="n">
        <x:v>-0.1259</x:v>
      </x:c>
    </x:row>
    <x:row r="151" ht="18" customHeight="1">
      <x:c r="A151" s="144" t="str">
        <x:v>2012-11</x:v>
      </x:c>
      <x:c r="B151" s="145" t="n">
        <x:v>55</x:v>
      </x:c>
      <x:c r="C151" s="145" t="n">
        <x:v>85.4</x:v>
      </x:c>
      <x:c r="D151" s="145" t="n">
        <x:v>100</x:v>
      </x:c>
      <x:c r="E151" s="145" t="n">
        <x:v>100</x:v>
      </x:c>
      <x:c r="F151" s="145" t="n">
        <x:v>-30.4</x:v>
      </x:c>
      <x:c r="G151" s="145" t="n">
        <x:v>-0.4336</x:v>
      </x:c>
    </x:row>
    <x:row r="152" ht="18" customHeight="1">
      <x:c r="A152" s="144" t="str">
        <x:v>2012-12</x:v>
      </x:c>
      <x:c r="B152" s="145" t="n">
        <x:v>27</x:v>
      </x:c>
      <x:c r="C152" s="145" t="n">
        <x:v>48</x:v>
      </x:c>
      <x:c r="D152" s="145" t="n">
        <x:v>100</x:v>
      </x:c>
      <x:c r="E152" s="145" t="n">
        <x:v>100</x:v>
      </x:c>
      <x:c r="F152" s="145" t="n">
        <x:v>-21</x:v>
      </x:c>
      <x:c r="G152" s="145" t="n">
        <x:v>-0.5596</x:v>
      </x:c>
    </x:row>
    <x:row r="153" ht="18" customHeight="1">
      <x:c r="A153" s="144" t="str">
        <x:v>2013-01</x:v>
      </x:c>
      <x:c r="B153" s="145" t="n">
        <x:v>274</x:v>
      </x:c>
      <x:c r="C153" s="145" t="n">
        <x:v>310.4</x:v>
      </x:c>
      <x:c r="D153" s="145" t="n">
        <x:v>100</x:v>
      </x:c>
      <x:c r="E153" s="145" t="n">
        <x:v>100</x:v>
      </x:c>
      <x:c r="F153" s="145" t="n">
        <x:v>-36.4</x:v>
      </x:c>
      <x:c r="G153" s="145" t="n">
        <x:v>-0.1243</x:v>
      </x:c>
    </x:row>
    <x:row r="154" ht="18" customHeight="1">
      <x:c r="A154" s="144" t="str">
        <x:v>2013-02</x:v>
      </x:c>
      <x:c r="B154" s="145" t="n">
        <x:v>267</x:v>
      </x:c>
      <x:c r="C154" s="145" t="n">
        <x:v>179.8</x:v>
      </x:c>
      <x:c r="D154" s="145" t="n">
        <x:v>100</x:v>
      </x:c>
      <x:c r="E154" s="145" t="n">
        <x:v>100</x:v>
      </x:c>
      <x:c r="F154" s="145" t="n">
        <x:v>87.2</x:v>
      </x:c>
      <x:c r="G154" s="145" t="n">
        <x:v>0.3936</x:v>
      </x:c>
    </x:row>
    <x:row r="155" ht="18" customHeight="1">
      <x:c r="A155" s="144" t="str">
        <x:v>2013-03</x:v>
      </x:c>
      <x:c r="B155" s="145" t="n">
        <x:v>346</x:v>
      </x:c>
      <x:c r="C155" s="145" t="n">
        <x:v>368.1</x:v>
      </x:c>
      <x:c r="D155" s="145" t="n">
        <x:v>100</x:v>
      </x:c>
      <x:c r="E155" s="145" t="n">
        <x:v>100</x:v>
      </x:c>
      <x:c r="F155" s="145" t="n">
        <x:v>-22.1</x:v>
      </x:c>
      <x:c r="G155" s="145" t="n">
        <x:v>-0.0617</x:v>
      </x:c>
    </x:row>
    <x:row r="156" ht="18" customHeight="1">
      <x:c r="A156" s="144" t="str">
        <x:v>2013-04</x:v>
      </x:c>
      <x:c r="B156" s="145" t="n">
        <x:v>561</x:v>
      </x:c>
      <x:c r="C156" s="145" t="n">
        <x:v>453.8</x:v>
      </x:c>
      <x:c r="D156" s="145" t="n">
        <x:v>100</x:v>
      </x:c>
      <x:c r="E156" s="145" t="n">
        <x:v>100</x:v>
      </x:c>
      <x:c r="F156" s="145" t="n">
        <x:v>107.2</x:v>
      </x:c>
      <x:c r="G156" s="145" t="n">
        <x:v>0.2116</x:v>
      </x:c>
    </x:row>
    <x:row r="157" ht="18" customHeight="1">
      <x:c r="A157" s="144" t="str">
        <x:v>2013-05</x:v>
      </x:c>
      <x:c r="B157" s="145" t="n">
        <x:v>433</x:v>
      </x:c>
      <x:c r="C157" s="145" t="n">
        <x:v>438.1</x:v>
      </x:c>
      <x:c r="D157" s="145" t="n">
        <x:v>100</x:v>
      </x:c>
      <x:c r="E157" s="145" t="n">
        <x:v>100</x:v>
      </x:c>
      <x:c r="F157" s="145" t="n">
        <x:v>-5.1</x:v>
      </x:c>
      <x:c r="G157" s="145" t="n">
        <x:v>-0.0117</x:v>
      </x:c>
    </x:row>
    <x:row r="158" ht="18" customHeight="1">
      <x:c r="A158" s="144" t="str">
        <x:v>2013-06</x:v>
      </x:c>
      <x:c r="B158" s="145" t="n">
        <x:v>118</x:v>
      </x:c>
      <x:c r="C158" s="145" t="n">
        <x:v>197.7</x:v>
      </x:c>
      <x:c r="D158" s="145" t="n">
        <x:v>100</x:v>
      </x:c>
      <x:c r="E158" s="145" t="n">
        <x:v>100</x:v>
      </x:c>
      <x:c r="F158" s="145" t="n">
        <x:v>-79.7</x:v>
      </x:c>
      <x:c r="G158" s="145" t="n">
        <x:v>-0.5127</x:v>
      </x:c>
    </x:row>
    <x:row r="159" ht="18" customHeight="1">
      <x:c r="A159" s="144" t="str">
        <x:v>2013-07</x:v>
      </x:c>
      <x:c r="B159" s="145" t="n">
        <x:v>119</x:v>
      </x:c>
      <x:c r="C159" s="145" t="n">
        <x:v>104.7</x:v>
      </x:c>
      <x:c r="D159" s="145" t="n">
        <x:v>100</x:v>
      </x:c>
      <x:c r="E159" s="145" t="n">
        <x:v>100</x:v>
      </x:c>
      <x:c r="F159" s="145" t="n">
        <x:v>14.3</x:v>
      </x:c>
      <x:c r="G159" s="145" t="n">
        <x:v>0.1269</x:v>
      </x:c>
    </x:row>
    <x:row r="160" ht="18" customHeight="1">
      <x:c r="A160" s="144" t="str">
        <x:v>2013-08</x:v>
      </x:c>
      <x:c r="B160" s="145" t="n">
        <x:v>99</x:v>
      </x:c>
      <x:c r="C160" s="145" t="n">
        <x:v>146.2</x:v>
      </x:c>
      <x:c r="D160" s="145" t="n">
        <x:v>100</x:v>
      </x:c>
      <x:c r="E160" s="145" t="n">
        <x:v>100</x:v>
      </x:c>
      <x:c r="F160" s="145" t="n">
        <x:v>-47.2</x:v>
      </x:c>
      <x:c r="G160" s="145" t="n">
        <x:v>-0.3866</x:v>
      </x:c>
    </x:row>
    <x:row r="161" ht="18" customHeight="1">
      <x:c r="A161" s="144" t="str">
        <x:v>2013-09</x:v>
      </x:c>
      <x:c r="B161" s="145" t="n">
        <x:v>69</x:v>
      </x:c>
      <x:c r="C161" s="145" t="n">
        <x:v>76.9</x:v>
      </x:c>
      <x:c r="D161" s="145" t="n">
        <x:v>100</x:v>
      </x:c>
      <x:c r="E161" s="145" t="n">
        <x:v>100</x:v>
      </x:c>
      <x:c r="F161" s="145" t="n">
        <x:v>-7.9</x:v>
      </x:c>
      <x:c r="G161" s="145" t="n">
        <x:v>-0.1069</x:v>
      </x:c>
    </x:row>
    <x:row r="162" ht="18" customHeight="1">
      <x:c r="A162" s="144" t="str">
        <x:v>2013-10</x:v>
      </x:c>
      <x:c r="B162" s="145" t="n">
        <x:v>98</x:v>
      </x:c>
      <x:c r="C162" s="145" t="n">
        <x:v>220.7</x:v>
      </x:c>
      <x:c r="D162" s="145" t="n">
        <x:v>100</x:v>
      </x:c>
      <x:c r="E162" s="145" t="n">
        <x:v>100</x:v>
      </x:c>
      <x:c r="F162" s="145" t="n">
        <x:v>-122.7</x:v>
      </x:c>
      <x:c r="G162" s="145" t="n">
        <x:v>-0.8062</x:v>
      </x:c>
    </x:row>
    <x:row r="163" ht="18" customHeight="1">
      <x:c r="A163" s="144" t="str">
        <x:v>2013-11</x:v>
      </x:c>
      <x:c r="B163" s="145" t="n">
        <x:v>2</x:v>
      </x:c>
      <x:c r="C163" s="145" t="n">
        <x:v>35.4</x:v>
      </x:c>
      <x:c r="D163" s="145" t="n">
        <x:v>100</x:v>
      </x:c>
      <x:c r="E163" s="145" t="n">
        <x:v>100</x:v>
      </x:c>
      <x:c r="F163" s="145" t="n">
        <x:v>-33.4</x:v>
      </x:c>
      <x:c r="G163" s="145" t="n">
        <x:v>-2.496</x:v>
      </x:c>
    </x:row>
    <x:row r="164" ht="18" customHeight="1">
      <x:c r="A164" s="144" t="str">
        <x:v>2013-12</x:v>
      </x:c>
      <x:c r="B164" s="145" t="n">
        <x:v>30</x:v>
      </x:c>
      <x:c r="C164" s="145" t="n">
        <x:v>132.8</x:v>
      </x:c>
      <x:c r="D164" s="145" t="n">
        <x:v>100</x:v>
      </x:c>
      <x:c r="E164" s="145" t="n">
        <x:v>100</x:v>
      </x:c>
      <x:c r="F164" s="145" t="n">
        <x:v>-102.8</x:v>
      </x:c>
      <x:c r="G164" s="145" t="n">
        <x:v>-1.4624</x:v>
      </x:c>
    </x:row>
    <x:row r="165" ht="18" customHeight="1">
      <x:c r="A165" s="144" t="str">
        <x:v>2014-01</x:v>
      </x:c>
      <x:c r="B165" s="145" t="n">
        <x:v>300</x:v>
      </x:c>
      <x:c r="C165" s="145" t="n">
        <x:v>429.8</x:v>
      </x:c>
      <x:c r="D165" s="145" t="n">
        <x:v>100</x:v>
      </x:c>
      <x:c r="E165" s="145" t="n">
        <x:v>100</x:v>
      </x:c>
      <x:c r="F165" s="145" t="n">
        <x:v>-129.8</x:v>
      </x:c>
      <x:c r="G165" s="145" t="n">
        <x:v>-0.3585</x:v>
      </x:c>
    </x:row>
    <x:row r="166" ht="18" customHeight="1">
      <x:c r="A166" s="144" t="str">
        <x:v>2014-02</x:v>
      </x:c>
      <x:c r="B166" s="145" t="n">
        <x:v>135</x:v>
      </x:c>
      <x:c r="C166" s="145" t="n">
        <x:v>431.8</x:v>
      </x:c>
      <x:c r="D166" s="145" t="n">
        <x:v>100</x:v>
      </x:c>
      <x:c r="E166" s="145" t="n">
        <x:v>100</x:v>
      </x:c>
      <x:c r="F166" s="145" t="n">
        <x:v>-296.8</x:v>
      </x:c>
      <x:c r="G166" s="145" t="n">
        <x:v>-1.1576</x:v>
      </x:c>
    </x:row>
    <x:row r="167" ht="18" customHeight="1">
      <x:c r="A167" s="144" t="str">
        <x:v>2014-03</x:v>
      </x:c>
      <x:c r="B167" s="145" t="n">
        <x:v>393</x:v>
      </x:c>
      <x:c r="C167" s="145" t="n">
        <x:v>425</x:v>
      </x:c>
      <x:c r="D167" s="145" t="n">
        <x:v>100</x:v>
      </x:c>
      <x:c r="E167" s="145" t="n">
        <x:v>100</x:v>
      </x:c>
      <x:c r="F167" s="145" t="n">
        <x:v>-32</x:v>
      </x:c>
      <x:c r="G167" s="145" t="n">
        <x:v>-0.0781</x:v>
      </x:c>
    </x:row>
    <x:row r="168" ht="18" customHeight="1">
      <x:c r="A168" s="144" t="str">
        <x:v>2014-04</x:v>
      </x:c>
      <x:c r="B168" s="145" t="n">
        <x:v>348</x:v>
      </x:c>
      <x:c r="C168" s="145" t="n">
        <x:v>394.3</x:v>
      </x:c>
      <x:c r="D168" s="145" t="n">
        <x:v>100</x:v>
      </x:c>
      <x:c r="E168" s="145" t="n">
        <x:v>100</x:v>
      </x:c>
      <x:c r="F168" s="145" t="n">
        <x:v>-46.3</x:v>
      </x:c>
      <x:c r="G168" s="145" t="n">
        <x:v>-0.1246</x:v>
      </x:c>
    </x:row>
    <x:row r="169" ht="18" customHeight="1">
      <x:c r="A169" s="144" t="str">
        <x:v>2014-05</x:v>
      </x:c>
      <x:c r="B169" s="145" t="n">
        <x:v>450</x:v>
      </x:c>
      <x:c r="C169" s="145" t="n">
        <x:v>540</x:v>
      </x:c>
      <x:c r="D169" s="145" t="n">
        <x:v>100</x:v>
      </x:c>
      <x:c r="E169" s="145" t="n">
        <x:v>100</x:v>
      </x:c>
      <x:c r="F169" s="145" t="n">
        <x:v>-90</x:v>
      </x:c>
      <x:c r="G169" s="145" t="n">
        <x:v>-0.182</x:v>
      </x:c>
    </x:row>
    <x:row r="170" ht="18" customHeight="1">
      <x:c r="A170" s="144" t="str">
        <x:v>2014-06</x:v>
      </x:c>
      <x:c r="B170" s="145" t="n">
        <x:v>480</x:v>
      </x:c>
      <x:c r="C170" s="145" t="n">
        <x:v>357.1</x:v>
      </x:c>
      <x:c r="D170" s="145" t="n">
        <x:v>100</x:v>
      </x:c>
      <x:c r="E170" s="145" t="n">
        <x:v>100</x:v>
      </x:c>
      <x:c r="F170" s="145" t="n">
        <x:v>122.9</x:v>
      </x:c>
      <x:c r="G170" s="145" t="n">
        <x:v>0.2951</x:v>
      </x:c>
    </x:row>
    <x:row r="171" ht="18" customHeight="1">
      <x:c r="A171" s="144" t="str">
        <x:v>2014-07</x:v>
      </x:c>
      <x:c r="B171" s="145" t="n">
        <x:v>33</x:v>
      </x:c>
      <x:c r="C171" s="145" t="n">
        <x:v>126.3</x:v>
      </x:c>
      <x:c r="D171" s="145" t="n">
        <x:v>100</x:v>
      </x:c>
      <x:c r="E171" s="145" t="n">
        <x:v>100</x:v>
      </x:c>
      <x:c r="F171" s="145" t="n">
        <x:v>-93.3</x:v>
      </x:c>
      <x:c r="G171" s="145" t="n">
        <x:v>-1.3202</x:v>
      </x:c>
    </x:row>
    <x:row r="172" ht="18" customHeight="1">
      <x:c r="A172" s="144" t="str">
        <x:v>2014-08</x:v>
      </x:c>
      <x:c r="B172" s="145" t="n">
        <x:v>141</x:v>
      </x:c>
      <x:c r="C172" s="145" t="n">
        <x:v>147.9</x:v>
      </x:c>
      <x:c r="D172" s="145" t="n">
        <x:v>100</x:v>
      </x:c>
      <x:c r="E172" s="145" t="n">
        <x:v>100</x:v>
      </x:c>
      <x:c r="F172" s="145" t="n">
        <x:v>-6.9</x:v>
      </x:c>
      <x:c r="G172" s="145" t="n">
        <x:v>-0.0474</x:v>
      </x:c>
    </x:row>
    <x:row r="173" ht="18" customHeight="1">
      <x:c r="A173" s="144" t="str">
        <x:v>2014-09</x:v>
      </x:c>
      <x:c r="B173" s="145" t="n">
        <x:v>173</x:v>
      </x:c>
      <x:c r="C173" s="145" t="n">
        <x:v>261.1</x:v>
      </x:c>
      <x:c r="D173" s="145" t="n">
        <x:v>100</x:v>
      </x:c>
      <x:c r="E173" s="145" t="n">
        <x:v>100</x:v>
      </x:c>
      <x:c r="F173" s="145" t="n">
        <x:v>-88.1</x:v>
      </x:c>
      <x:c r="G173" s="145" t="n">
        <x:v>-0.4097</x:v>
      </x:c>
    </x:row>
    <x:row r="174" ht="18" customHeight="1">
      <x:c r="A174" s="144" t="str">
        <x:v>2014-10</x:v>
      </x:c>
      <x:c r="B174" s="145" t="n">
        <x:v>175</x:v>
      </x:c>
      <x:c r="C174" s="145" t="n">
        <x:v>153.9</x:v>
      </x:c>
      <x:c r="D174" s="145" t="n">
        <x:v>100</x:v>
      </x:c>
      <x:c r="E174" s="145" t="n">
        <x:v>100</x:v>
      </x:c>
      <x:c r="F174" s="145" t="n">
        <x:v>21.1</x:v>
      </x:c>
      <x:c r="G174" s="145" t="n">
        <x:v>0.1277</x:v>
      </x:c>
    </x:row>
    <x:row r="175" ht="18" customHeight="1">
      <x:c r="A175" s="144" t="str">
        <x:v>2014-11</x:v>
      </x:c>
      <x:c r="B175" s="145" t="n">
        <x:v>104</x:v>
      </x:c>
      <x:c r="C175" s="145" t="n">
        <x:v>103.9</x:v>
      </x:c>
      <x:c r="D175" s="145" t="n">
        <x:v>100</x:v>
      </x:c>
      <x:c r="E175" s="145" t="n">
        <x:v>100</x:v>
      </x:c>
      <x:c r="F175" s="145" t="n">
        <x:v>0.1</x:v>
      </x:c>
      <x:c r="G175" s="145" t="n">
        <x:v>0.001</x:v>
      </x:c>
    </x:row>
    <x:row r="176" ht="18" customHeight="1">
      <x:c r="A176" s="144" t="str">
        <x:v>2014-12</x:v>
      </x:c>
      <x:c r="B176" s="145" t="n">
        <x:v>110</x:v>
      </x:c>
      <x:c r="C176" s="145" t="n">
        <x:v>243.9</x:v>
      </x:c>
      <x:c r="D176" s="145" t="n">
        <x:v>100</x:v>
      </x:c>
      <x:c r="E176" s="145" t="n">
        <x:v>100</x:v>
      </x:c>
      <x:c r="F176" s="145" t="n">
        <x:v>-133.9</x:v>
      </x:c>
      <x:c r="G176" s="145" t="n">
        <x:v>-0.7913</x:v>
      </x:c>
    </x:row>
    <x:row r="177" ht="18" customHeight="1">
      <x:c r="A177" s="144" t="str">
        <x:v>2015-01</x:v>
      </x:c>
      <x:c r="B177" s="145" t="n">
        <x:v>325</x:v>
      </x:c>
      <x:c r="C177" s="145" t="n">
        <x:v>352.5</x:v>
      </x:c>
      <x:c r="D177" s="145" t="n">
        <x:v>100</x:v>
      </x:c>
      <x:c r="E177" s="145" t="n">
        <x:v>100</x:v>
      </x:c>
      <x:c r="F177" s="145" t="n">
        <x:v>-27.5</x:v>
      </x:c>
      <x:c r="G177" s="145" t="n">
        <x:v>-0.081</x:v>
      </x:c>
    </x:row>
    <x:row r="178" ht="18" customHeight="1">
      <x:c r="A178" s="144" t="str">
        <x:v>2015-02</x:v>
      </x:c>
      <x:c r="B178" s="145" t="n">
        <x:v>288</x:v>
      </x:c>
      <x:c r="C178" s="145" t="n">
        <x:v>315.8</x:v>
      </x:c>
      <x:c r="D178" s="145" t="n">
        <x:v>100</x:v>
      </x:c>
      <x:c r="E178" s="145" t="n">
        <x:v>100</x:v>
      </x:c>
      <x:c r="F178" s="145" t="n">
        <x:v>-27.8</x:v>
      </x:c>
      <x:c r="G178" s="145" t="n">
        <x:v>-0.0918</x:v>
      </x:c>
    </x:row>
    <x:row r="179" ht="18" customHeight="1">
      <x:c r="A179" s="144" t="str">
        <x:v>2015-03</x:v>
      </x:c>
      <x:c r="B179" s="145" t="n">
        <x:v>296</x:v>
      </x:c>
      <x:c r="C179" s="145" t="n">
        <x:v>227</x:v>
      </x:c>
      <x:c r="D179" s="145" t="n">
        <x:v>100</x:v>
      </x:c>
      <x:c r="E179" s="145" t="n">
        <x:v>100</x:v>
      </x:c>
      <x:c r="F179" s="145" t="n">
        <x:v>69</x:v>
      </x:c>
      <x:c r="G179" s="145" t="n">
        <x:v>0.2644</x:v>
      </x:c>
    </x:row>
    <x:row r="180" ht="18" customHeight="1">
      <x:c r="A180" s="144" t="str">
        <x:v>2015-04</x:v>
      </x:c>
      <x:c r="B180" s="145" t="n">
        <x:v>387</x:v>
      </x:c>
      <x:c r="C180" s="145" t="n">
        <x:v>587.6</x:v>
      </x:c>
      <x:c r="D180" s="145" t="n">
        <x:v>100</x:v>
      </x:c>
      <x:c r="E180" s="145" t="n">
        <x:v>100</x:v>
      </x:c>
      <x:c r="F180" s="145" t="n">
        <x:v>-200.6</x:v>
      </x:c>
      <x:c r="G180" s="145" t="n">
        <x:v>-0.4167</x:v>
      </x:c>
    </x:row>
    <x:row r="181" ht="18" customHeight="1">
      <x:c r="A181" s="144" t="str">
        <x:v>2015-05</x:v>
      </x:c>
      <x:c r="B181" s="145" t="n">
        <x:v>283</x:v>
      </x:c>
      <x:c r="C181" s="145" t="n">
        <x:v>336.1</x:v>
      </x:c>
      <x:c r="D181" s="145" t="n">
        <x:v>100</x:v>
      </x:c>
      <x:c r="E181" s="145" t="n">
        <x:v>96.8</x:v>
      </x:c>
      <x:c r="F181" s="145" t="n">
        <x:v>-53.1</x:v>
      </x:c>
      <x:c r="G181" s="145" t="n">
        <x:v>-0.1714</x:v>
      </x:c>
    </x:row>
    <x:row r="182" ht="18" customHeight="1">
      <x:c r="A182" s="144" t="str">
        <x:v>2015-06</x:v>
      </x:c>
      <x:c r="B182" s="145" t="n">
        <x:v>212</x:v>
      </x:c>
      <x:c r="C182" s="145" t="n">
        <x:v>119.9</x:v>
      </x:c>
      <x:c r="D182" s="145" t="n">
        <x:v>100</x:v>
      </x:c>
      <x:c r="E182" s="145" t="n">
        <x:v>100</x:v>
      </x:c>
      <x:c r="F182" s="145" t="n">
        <x:v>92.1</x:v>
      </x:c>
      <x:c r="G182" s="145" t="n">
        <x:v>0.5663</x:v>
      </x:c>
    </x:row>
    <x:row r="183" ht="18" customHeight="1">
      <x:c r="A183" s="144" t="str">
        <x:v>2015-07</x:v>
      </x:c>
      <x:c r="B183" s="145" t="n">
        <x:v>346</x:v>
      </x:c>
      <x:c r="C183" s="145" t="n">
        <x:v>427</x:v>
      </x:c>
      <x:c r="D183" s="145" t="n">
        <x:v>93.5</x:v>
      </x:c>
      <x:c r="E183" s="145" t="n">
        <x:v>100</x:v>
      </x:c>
      <x:c r="F183" s="145" t="n">
        <x:v>-81</x:v>
      </x:c>
      <x:c r="G183" s="145" t="n">
        <x:v>-0.2098</x:v>
      </x:c>
    </x:row>
    <x:row r="184" ht="18" customHeight="1">
      <x:c r="A184" s="144" t="str">
        <x:v>2015-08</x:v>
      </x:c>
      <x:c r="B184" s="145" t="n">
        <x:v>238</x:v>
      </x:c>
      <x:c r="C184" s="145" t="n">
        <x:v>174.5</x:v>
      </x:c>
      <x:c r="D184" s="145" t="n">
        <x:v>100</x:v>
      </x:c>
      <x:c r="E184" s="145" t="n">
        <x:v>100</x:v>
      </x:c>
      <x:c r="F184" s="145" t="n">
        <x:v>63.5</x:v>
      </x:c>
      <x:c r="G184" s="145" t="n">
        <x:v>0.3088</x:v>
      </x:c>
    </x:row>
    <x:row r="185" ht="18" customHeight="1">
      <x:c r="A185" s="144" t="str">
        <x:v>2015-09</x:v>
      </x:c>
      <x:c r="B185" s="145" t="n">
        <x:v>156</x:v>
      </x:c>
      <x:c r="C185" s="145" t="n">
        <x:v>66.8</x:v>
      </x:c>
      <x:c r="D185" s="145" t="n">
        <x:v>100</x:v>
      </x:c>
      <x:c r="E185" s="145" t="n">
        <x:v>100</x:v>
      </x:c>
      <x:c r="F185" s="145" t="n">
        <x:v>89.2</x:v>
      </x:c>
      <x:c r="G185" s="145" t="n">
        <x:v>0.8397</x:v>
      </x:c>
    </x:row>
    <x:row r="186" ht="18" customHeight="1">
      <x:c r="A186" s="144" t="str">
        <x:v>2015-10</x:v>
      </x:c>
      <x:c r="B186" s="145" t="n">
        <x:v>197</x:v>
      </x:c>
      <x:c r="C186" s="145" t="n">
        <x:v>232.6</x:v>
      </x:c>
      <x:c r="D186" s="145" t="n">
        <x:v>100</x:v>
      </x:c>
      <x:c r="E186" s="145" t="n">
        <x:v>100</x:v>
      </x:c>
      <x:c r="F186" s="145" t="n">
        <x:v>-35.6</x:v>
      </x:c>
      <x:c r="G186" s="145" t="n">
        <x:v>-0.1653</x:v>
      </x:c>
    </x:row>
    <x:row r="187" ht="18" customHeight="1">
      <x:c r="A187" s="144" t="str">
        <x:v>2015-11</x:v>
      </x:c>
      <x:c r="B187" s="145" t="n">
        <x:v>268</x:v>
      </x:c>
      <x:c r="C187" s="145" t="n">
        <x:v>257</x:v>
      </x:c>
      <x:c r="D187" s="145" t="n">
        <x:v>96.7</x:v>
      </x:c>
      <x:c r="E187" s="145" t="n">
        <x:v>100</x:v>
      </x:c>
      <x:c r="F187" s="145" t="n">
        <x:v>11</x:v>
      </x:c>
      <x:c r="G187" s="145" t="n">
        <x:v>0.0418</x:v>
      </x:c>
    </x:row>
    <x:row r="188" ht="18" customHeight="1">
      <x:c r="A188" s="144" t="str">
        <x:v>2015-12</x:v>
      </x:c>
      <x:c r="B188" s="145" t="n">
        <x:v>295</x:v>
      </x:c>
      <x:c r="C188" s="145" t="n">
        <x:v>511.2</x:v>
      </x:c>
      <x:c r="D188" s="145" t="n">
        <x:v>100</x:v>
      </x:c>
      <x:c r="E188" s="145" t="n">
        <x:v>100</x:v>
      </x:c>
      <x:c r="F188" s="145" t="n">
        <x:v>-216.2</x:v>
      </x:c>
      <x:c r="G188" s="145" t="n">
        <x:v>-0.5484</x:v>
      </x:c>
    </x:row>
    <x:row r="189" ht="18" customHeight="1">
      <x:c r="A189" s="144" t="str">
        <x:v>2016-01</x:v>
      </x:c>
      <x:c r="B189" s="145" t="n">
        <x:v>428</x:v>
      </x:c>
      <x:c r="C189" s="145" t="n">
        <x:v>749.1</x:v>
      </x:c>
      <x:c r="D189" s="145" t="n">
        <x:v>100</x:v>
      </x:c>
      <x:c r="E189" s="145" t="n">
        <x:v>100</x:v>
      </x:c>
      <x:c r="F189" s="145" t="n">
        <x:v>-321.1</x:v>
      </x:c>
      <x:c r="G189" s="145" t="n">
        <x:v>-0.5587</x:v>
      </x:c>
    </x:row>
    <x:row r="190" ht="18" customHeight="1">
      <x:c r="A190" s="144" t="str">
        <x:v>2016-02</x:v>
      </x:c>
      <x:c r="B190" s="145" t="n">
        <x:v>328</x:v>
      </x:c>
      <x:c r="C190" s="145" t="n">
        <x:v>433.5</x:v>
      </x:c>
      <x:c r="D190" s="145" t="n">
        <x:v>100</x:v>
      </x:c>
      <x:c r="E190" s="145" t="n">
        <x:v>100</x:v>
      </x:c>
      <x:c r="F190" s="145" t="n">
        <x:v>-105.5</x:v>
      </x:c>
      <x:c r="G190" s="145" t="n">
        <x:v>-0.2781</x:v>
      </x:c>
    </x:row>
    <x:row r="191" ht="18" customHeight="1">
      <x:c r="A191" s="144" t="str">
        <x:v>2016-03</x:v>
      </x:c>
      <x:c r="B191" s="145" t="n">
        <x:v>432</x:v>
      </x:c>
      <x:c r="C191" s="145" t="n">
        <x:v>366</x:v>
      </x:c>
      <x:c r="D191" s="145" t="n">
        <x:v>100</x:v>
      </x:c>
      <x:c r="E191" s="145" t="n">
        <x:v>100</x:v>
      </x:c>
      <x:c r="F191" s="145" t="n">
        <x:v>66</x:v>
      </x:c>
      <x:c r="G191" s="145" t="n">
        <x:v>0.1654</x:v>
      </x:c>
    </x:row>
    <x:row r="192" ht="18" customHeight="1">
      <x:c r="A192" s="144" t="str">
        <x:v>2016-04</x:v>
      </x:c>
      <x:c r="B192" s="145" t="n">
        <x:v>751</x:v>
      </x:c>
      <x:c r="C192" s="145" t="n">
        <x:v>492</x:v>
      </x:c>
      <x:c r="D192" s="145" t="n">
        <x:v>93.3</x:v>
      </x:c>
      <x:c r="E192" s="145" t="n">
        <x:v>100</x:v>
      </x:c>
      <x:c r="F192" s="145" t="n">
        <x:v>259</x:v>
      </x:c>
      <x:c r="G192" s="145" t="n">
        <x:v>0.4222</x:v>
      </x:c>
    </x:row>
    <x:row r="193" ht="18" customHeight="1">
      <x:c r="A193" s="144" t="str">
        <x:v>2016-05</x:v>
      </x:c>
      <x:c r="B193" s="145" t="n">
        <x:v>734</x:v>
      </x:c>
      <x:c r="C193" s="145" t="n">
        <x:v>608.6</x:v>
      </x:c>
      <x:c r="D193" s="145" t="n">
        <x:v>100</x:v>
      </x:c>
      <x:c r="E193" s="145" t="n">
        <x:v>100</x:v>
      </x:c>
      <x:c r="F193" s="145" t="n">
        <x:v>125.4</x:v>
      </x:c>
      <x:c r="G193" s="145" t="n">
        <x:v>0.1871</x:v>
      </x:c>
    </x:row>
    <x:row r="194" ht="18" customHeight="1">
      <x:c r="A194" s="144" t="str">
        <x:v>2016-06</x:v>
      </x:c>
      <x:c r="B194" s="145" t="n">
        <x:v>415</x:v>
      </x:c>
      <x:c r="C194" s="145" t="n">
        <x:v>577</x:v>
      </x:c>
      <x:c r="D194" s="145" t="n">
        <x:v>100</x:v>
      </x:c>
      <x:c r="E194" s="145" t="n">
        <x:v>100</x:v>
      </x:c>
      <x:c r="F194" s="145" t="n">
        <x:v>-162</x:v>
      </x:c>
      <x:c r="G194" s="145" t="n">
        <x:v>-0.3289</x:v>
      </x:c>
    </x:row>
    <x:row r="195" ht="18" customHeight="1">
      <x:c r="A195" s="144" t="str">
        <x:v>2016-07</x:v>
      </x:c>
      <x:c r="B195" s="145" t="n">
        <x:v>197</x:v>
      </x:c>
      <x:c r="C195" s="145" t="n">
        <x:v>361.5</x:v>
      </x:c>
      <x:c r="D195" s="145" t="n">
        <x:v>100</x:v>
      </x:c>
      <x:c r="E195" s="145" t="n">
        <x:v>100</x:v>
      </x:c>
      <x:c r="F195" s="145" t="n">
        <x:v>-164.5</x:v>
      </x:c>
      <x:c r="G195" s="145" t="n">
        <x:v>-0.6048</x:v>
      </x:c>
    </x:row>
    <x:row r="196" ht="18" customHeight="1">
      <x:c r="A196" s="144" t="str">
        <x:v>2016-08</x:v>
      </x:c>
      <x:c r="B196" s="145" t="n">
        <x:v>16</x:v>
      </x:c>
      <x:c r="C196" s="145" t="n">
        <x:v>65.6</x:v>
      </x:c>
      <x:c r="D196" s="145" t="n">
        <x:v>100</x:v>
      </x:c>
      <x:c r="E196" s="145" t="n">
        <x:v>100</x:v>
      </x:c>
      <x:c r="F196" s="145" t="n">
        <x:v>-49.6</x:v>
      </x:c>
      <x:c r="G196" s="145" t="n">
        <x:v>-1.3655</x:v>
      </x:c>
    </x:row>
    <x:row r="197" ht="18" customHeight="1">
      <x:c r="A197" s="144" t="str">
        <x:v>2016-09</x:v>
      </x:c>
      <x:c r="B197" s="145" t="n">
        <x:v>223</x:v>
      </x:c>
      <x:c r="C197" s="145" t="n">
        <x:v>365.1</x:v>
      </x:c>
      <x:c r="D197" s="145" t="n">
        <x:v>100</x:v>
      </x:c>
      <x:c r="E197" s="145" t="n">
        <x:v>100</x:v>
      </x:c>
      <x:c r="F197" s="145" t="n">
        <x:v>-142.1</x:v>
      </x:c>
      <x:c r="G197" s="145" t="n">
        <x:v>-0.4913</x:v>
      </x:c>
    </x:row>
    <x:row r="198" ht="18" customHeight="1">
      <x:c r="A198" s="144" t="str">
        <x:v>2016-10</x:v>
      </x:c>
      <x:c r="B198" s="145" t="n">
        <x:v>187</x:v>
      </x:c>
      <x:c r="C198" s="145" t="n">
        <x:v>171.5</x:v>
      </x:c>
      <x:c r="D198" s="145" t="n">
        <x:v>100</x:v>
      </x:c>
      <x:c r="E198" s="145" t="n">
        <x:v>100</x:v>
      </x:c>
      <x:c r="F198" s="145" t="n">
        <x:v>15.5</x:v>
      </x:c>
      <x:c r="G198" s="145" t="n">
        <x:v>0.086</x:v>
      </x:c>
    </x:row>
    <x:row r="199" ht="18" customHeight="1">
      <x:c r="A199" s="144" t="str">
        <x:v>2017-01</x:v>
      </x:c>
      <x:c r="B199" s="145" t="n">
        <x:v>397</x:v>
      </x:c>
      <x:c r="C199" s="145" t="n">
        <x:v>415.3</x:v>
      </x:c>
      <x:c r="D199" s="145" t="n">
        <x:v>100</x:v>
      </x:c>
      <x:c r="E199" s="145" t="n">
        <x:v>100</x:v>
      </x:c>
      <x:c r="F199" s="145" t="n">
        <x:v>-18.3</x:v>
      </x:c>
      <x:c r="G199" s="145" t="n">
        <x:v>-0.045</x:v>
      </x:c>
    </x:row>
    <x:row r="200" ht="18" customHeight="1">
      <x:c r="A200" s="144" t="str">
        <x:v>2017-02</x:v>
      </x:c>
      <x:c r="B200" s="145" t="n">
        <x:v>230</x:v>
      </x:c>
      <x:c r="C200" s="145" t="n">
        <x:v>124.2</x:v>
      </x:c>
      <x:c r="D200" s="145" t="n">
        <x:v>100</x:v>
      </x:c>
      <x:c r="E200" s="145" t="n">
        <x:v>100</x:v>
      </x:c>
      <x:c r="F200" s="145" t="n">
        <x:v>105.8</x:v>
      </x:c>
      <x:c r="G200" s="145" t="n">
        <x:v>0.6125</x:v>
      </x:c>
    </x:row>
    <x:row r="201" ht="18" customHeight="1">
      <x:c r="A201" s="144" t="str">
        <x:v>2017-03</x:v>
      </x:c>
      <x:c r="B201" s="145" t="n">
        <x:v>233</x:v>
      </x:c>
      <x:c r="C201" s="145" t="n">
        <x:v>179.9</x:v>
      </x:c>
      <x:c r="D201" s="145" t="n">
        <x:v>100</x:v>
      </x:c>
      <x:c r="E201" s="145" t="n">
        <x:v>100</x:v>
      </x:c>
      <x:c r="F201" s="145" t="n">
        <x:v>53.1</x:v>
      </x:c>
      <x:c r="G201" s="145" t="n">
        <x:v>0.2574</x:v>
      </x:c>
    </x:row>
    <x:row r="202" ht="18" customHeight="1">
      <x:c r="A202" s="144" t="str">
        <x:v>2017-04</x:v>
      </x:c>
      <x:c r="B202" s="145" t="n">
        <x:v>283</x:v>
      </x:c>
      <x:c r="C202" s="145" t="n">
        <x:v>448.3</x:v>
      </x:c>
      <x:c r="D202" s="145" t="n">
        <x:v>100</x:v>
      </x:c>
      <x:c r="E202" s="145" t="n">
        <x:v>100</x:v>
      </x:c>
      <x:c r="F202" s="145" t="n">
        <x:v>-165.3</x:v>
      </x:c>
      <x:c r="G202" s="145" t="n">
        <x:v>-0.4587</x:v>
      </x:c>
    </x:row>
    <x:row r="203" ht="18" customHeight="1">
      <x:c r="A203" s="144" t="str">
        <x:v>2017-05</x:v>
      </x:c>
      <x:c r="B203" s="145" t="n">
        <x:v>894</x:v>
      </x:c>
      <x:c r="C203" s="145" t="n">
        <x:v>508</x:v>
      </x:c>
      <x:c r="D203" s="145" t="n">
        <x:v>100</x:v>
      </x:c>
      <x:c r="E203" s="145" t="n">
        <x:v>100</x:v>
      </x:c>
      <x:c r="F203" s="145" t="n">
        <x:v>386</x:v>
      </x:c>
      <x:c r="G203" s="145" t="n">
        <x:v>0.5644</x:v>
      </x:c>
    </x:row>
    <x:row r="204" ht="18" customHeight="1">
      <x:c r="A204" s="144" t="str">
        <x:v>2017-06</x:v>
      </x:c>
      <x:c r="B204" s="145" t="n">
        <x:v>571</x:v>
      </x:c>
      <x:c r="C204" s="145" t="n">
        <x:v>530.4</x:v>
      </x:c>
      <x:c r="D204" s="145" t="n">
        <x:v>100</x:v>
      </x:c>
      <x:c r="E204" s="145" t="n">
        <x:v>100</x:v>
      </x:c>
      <x:c r="F204" s="145" t="n">
        <x:v>40.6</x:v>
      </x:c>
      <x:c r="G204" s="145" t="n">
        <x:v>0.0736</x:v>
      </x:c>
    </x:row>
    <x:row r="205" ht="18" customHeight="1">
      <x:c r="A205" s="144" t="str">
        <x:v>2017-07</x:v>
      </x:c>
      <x:c r="B205" s="145" t="n">
        <x:v>98</x:v>
      </x:c>
      <x:c r="C205" s="145" t="n">
        <x:v>254</x:v>
      </x:c>
      <x:c r="D205" s="145" t="n">
        <x:v>100</x:v>
      </x:c>
      <x:c r="E205" s="145" t="n">
        <x:v>100</x:v>
      </x:c>
      <x:c r="F205" s="145" t="n">
        <x:v>-156</x:v>
      </x:c>
      <x:c r="G205" s="145" t="n">
        <x:v>-0.9461</x:v>
      </x:c>
    </x:row>
    <x:row r="206" ht="18" customHeight="1">
      <x:c r="A206" s="144" t="str">
        <x:v>2017-08</x:v>
      </x:c>
      <x:c r="B206" s="145" t="n">
        <x:v>298</x:v>
      </x:c>
      <x:c r="C206" s="145" t="n">
        <x:v>249</x:v>
      </x:c>
      <x:c r="D206" s="145" t="n">
        <x:v>100</x:v>
      </x:c>
      <x:c r="E206" s="145" t="n">
        <x:v>100</x:v>
      </x:c>
      <x:c r="F206" s="145" t="n">
        <x:v>49</x:v>
      </x:c>
      <x:c r="G206" s="145" t="n">
        <x:v>0.179</x:v>
      </x:c>
    </x:row>
    <x:row r="207" ht="18" customHeight="1">
      <x:c r="A207" s="144" t="str">
        <x:v>2017-09</x:v>
      </x:c>
      <x:c r="B207" s="145" t="n">
        <x:v>225</x:v>
      </x:c>
      <x:c r="C207" s="145" t="n">
        <x:v>142.9</x:v>
      </x:c>
      <x:c r="D207" s="145" t="n">
        <x:v>100</x:v>
      </x:c>
      <x:c r="E207" s="145" t="n">
        <x:v>100</x:v>
      </x:c>
      <x:c r="F207" s="145" t="n">
        <x:v>82.1</x:v>
      </x:c>
      <x:c r="G207" s="145" t="n">
        <x:v>0.4514</x:v>
      </x:c>
    </x:row>
    <x:row r="208" ht="18" customHeight="1">
      <x:c r="A208" s="144" t="str">
        <x:v>2017-10</x:v>
      </x:c>
      <x:c r="B208" s="145" t="n">
        <x:v>183</x:v>
      </x:c>
      <x:c r="C208" s="145" t="n">
        <x:v>156.8</x:v>
      </x:c>
      <x:c r="D208" s="145" t="n">
        <x:v>100</x:v>
      </x:c>
      <x:c r="E208" s="145" t="n">
        <x:v>100</x:v>
      </x:c>
      <x:c r="F208" s="145" t="n">
        <x:v>26.2</x:v>
      </x:c>
      <x:c r="G208" s="145" t="n">
        <x:v>0.1536</x:v>
      </x:c>
    </x:row>
    <x:row r="209" ht="18" customHeight="1">
      <x:c r="A209" s="144" t="str">
        <x:v>2017-11</x:v>
      </x:c>
      <x:c r="B209" s="145" t="n">
        <x:v>20</x:v>
      </x:c>
      <x:c r="C209" s="145" t="n">
        <x:v>31.8</x:v>
      </x:c>
      <x:c r="D209" s="145" t="n">
        <x:v>100</x:v>
      </x:c>
      <x:c r="E209" s="145" t="n">
        <x:v>100</x:v>
      </x:c>
      <x:c r="F209" s="145" t="n">
        <x:v>-11.8</x:v>
      </x:c>
      <x:c r="G209" s="145" t="n">
        <x:v>-0.4459</x:v>
      </x:c>
    </x:row>
    <x:row r="210" ht="18" customHeight="1">
      <x:c r="A210" s="144" t="str">
        <x:v>2017-12</x:v>
      </x:c>
      <x:c r="B210" s="145" t="n">
        <x:v>264</x:v>
      </x:c>
      <x:c r="C210" s="145" t="n">
        <x:v>148.3</x:v>
      </x:c>
      <x:c r="D210" s="145" t="n">
        <x:v>100</x:v>
      </x:c>
      <x:c r="E210" s="145" t="n">
        <x:v>100</x:v>
      </x:c>
      <x:c r="F210" s="145" t="n">
        <x:v>115.7</x:v>
      </x:c>
      <x:c r="G210" s="145" t="n">
        <x:v>0.5738</x:v>
      </x:c>
    </x:row>
    <x:row r="211" ht="18" customHeight="1">
      <x:c r="A211" s="144" t="str">
        <x:v>2018-01</x:v>
      </x:c>
      <x:c r="B211" s="145" t="n">
        <x:v>517</x:v>
      </x:c>
      <x:c r="C211" s="145" t="n">
        <x:v>354.4</x:v>
      </x:c>
      <x:c r="D211" s="145" t="n">
        <x:v>100</x:v>
      </x:c>
      <x:c r="E211" s="145" t="n">
        <x:v>100</x:v>
      </x:c>
      <x:c r="F211" s="145" t="n">
        <x:v>162.6</x:v>
      </x:c>
      <x:c r="G211" s="145" t="n">
        <x:v>0.3767</x:v>
      </x:c>
    </x:row>
    <x:row r="212" ht="18" customHeight="1">
      <x:c r="A212" s="144" t="str">
        <x:v>2018-02</x:v>
      </x:c>
      <x:c r="B212" s="145" t="n">
        <x:v>259</x:v>
      </x:c>
      <x:c r="C212" s="145" t="n">
        <x:v>192.1</x:v>
      </x:c>
      <x:c r="D212" s="145" t="n">
        <x:v>100</x:v>
      </x:c>
      <x:c r="E212" s="145" t="n">
        <x:v>100</x:v>
      </x:c>
      <x:c r="F212" s="145" t="n">
        <x:v>66.9</x:v>
      </x:c>
      <x:c r="G212" s="145" t="n">
        <x:v>0.2975</x:v>
      </x:c>
    </x:row>
    <x:row r="213" ht="18" customHeight="1">
      <x:c r="A213" s="144" t="str">
        <x:v>2018-03</x:v>
      </x:c>
      <x:c r="B213" s="145" t="n">
        <x:v>247</x:v>
      </x:c>
      <x:c r="C213" s="145" t="n">
        <x:v>299.3</x:v>
      </x:c>
      <x:c r="D213" s="145" t="n">
        <x:v>100</x:v>
      </x:c>
      <x:c r="E213" s="145" t="n">
        <x:v>100</x:v>
      </x:c>
      <x:c r="F213" s="145" t="n">
        <x:v>-52.3</x:v>
      </x:c>
      <x:c r="G213" s="145" t="n">
        <x:v>-0.1914</x:v>
      </x:c>
    </x:row>
    <x:row r="214" ht="18" customHeight="1">
      <x:c r="A214" s="144" t="str">
        <x:v>2018-04</x:v>
      </x:c>
      <x:c r="B214" s="145" t="n">
        <x:v>240</x:v>
      </x:c>
      <x:c r="C214" s="145" t="n">
        <x:v>353.6</x:v>
      </x:c>
      <x:c r="D214" s="145" t="n">
        <x:v>100</x:v>
      </x:c>
      <x:c r="E214" s="145" t="n">
        <x:v>100</x:v>
      </x:c>
      <x:c r="F214" s="145" t="n">
        <x:v>-113.6</x:v>
      </x:c>
      <x:c r="G214" s="145" t="n">
        <x:v>-0.3862</x:v>
      </x:c>
    </x:row>
    <x:row r="215" ht="18" customHeight="1">
      <x:c r="A215" s="144" t="str">
        <x:v>2018-05</x:v>
      </x:c>
      <x:c r="B215" s="145" t="n">
        <x:v>618</x:v>
      </x:c>
      <x:c r="C215" s="145" t="n">
        <x:v>688.7</x:v>
      </x:c>
      <x:c r="D215" s="145" t="n">
        <x:v>100</x:v>
      </x:c>
      <x:c r="E215" s="145" t="n">
        <x:v>100</x:v>
      </x:c>
      <x:c r="F215" s="145" t="n">
        <x:v>-70.7</x:v>
      </x:c>
      <x:c r="G215" s="145" t="n">
        <x:v>-0.1082</x:v>
      </x:c>
    </x:row>
    <x:row r="216" ht="18" customHeight="1">
      <x:c r="A216" s="144" t="str">
        <x:v>2018-06</x:v>
      </x:c>
      <x:c r="B216" s="145" t="n">
        <x:v>160</x:v>
      </x:c>
      <x:c r="C216" s="145" t="n">
        <x:v>167</x:v>
      </x:c>
      <x:c r="D216" s="145" t="n">
        <x:v>100</x:v>
      </x:c>
      <x:c r="E216" s="145" t="n">
        <x:v>100</x:v>
      </x:c>
      <x:c r="F216" s="145" t="n">
        <x:v>-7</x:v>
      </x:c>
      <x:c r="G216" s="145" t="n">
        <x:v>-0.0426</x:v>
      </x:c>
    </x:row>
    <x:row r="217" ht="18" customHeight="1">
      <x:c r="A217" s="144" t="str">
        <x:v>2018-07</x:v>
      </x:c>
      <x:c r="B217" s="145" t="n">
        <x:v>49</x:v>
      </x:c>
      <x:c r="C217" s="145" t="n">
        <x:v>83.2</x:v>
      </x:c>
      <x:c r="D217" s="145" t="n">
        <x:v>96.8</x:v>
      </x:c>
      <x:c r="E217" s="145" t="n">
        <x:v>100</x:v>
      </x:c>
      <x:c r="F217" s="145" t="n">
        <x:v>-34.2</x:v>
      </x:c>
      <x:c r="G217" s="145" t="n">
        <x:v>-0.5212</x:v>
      </x:c>
    </x:row>
    <x:row r="218" ht="18" customHeight="1">
      <x:c r="A218" s="144" t="str">
        <x:v>2018-08</x:v>
      </x:c>
      <x:c r="B218" s="145" t="n">
        <x:v>21</x:v>
      </x:c>
      <x:c r="C218" s="145" t="n">
        <x:v>30.9</x:v>
      </x:c>
      <x:c r="D218" s="145" t="n">
        <x:v>100</x:v>
      </x:c>
      <x:c r="E218" s="145" t="n">
        <x:v>100</x:v>
      </x:c>
      <x:c r="F218" s="145" t="n">
        <x:v>-9.9</x:v>
      </x:c>
      <x:c r="G218" s="145" t="n">
        <x:v>-0.3716</x:v>
      </x:c>
    </x:row>
    <x:row r="219" ht="18" customHeight="1">
      <x:c r="A219" s="144" t="str">
        <x:v>2018-09</x:v>
      </x:c>
      <x:c r="B219" s="145" t="n">
        <x:v>66</x:v>
      </x:c>
      <x:c r="C219" s="145" t="n">
        <x:v>156</x:v>
      </x:c>
      <x:c r="D219" s="145" t="n">
        <x:v>100</x:v>
      </x:c>
      <x:c r="E219" s="145" t="n">
        <x:v>100</x:v>
      </x:c>
      <x:c r="F219" s="145" t="n">
        <x:v>-90</x:v>
      </x:c>
      <x:c r="G219" s="145" t="n">
        <x:v>-0.8516</x:v>
      </x:c>
    </x:row>
    <x:row r="220" ht="18" customHeight="1">
      <x:c r="A220" s="144" t="str">
        <x:v>2018-10</x:v>
      </x:c>
      <x:c r="B220" s="145" t="n">
        <x:v>85</x:v>
      </x:c>
      <x:c r="C220" s="145" t="n">
        <x:v>62.7</x:v>
      </x:c>
      <x:c r="D220" s="145" t="n">
        <x:v>96.8</x:v>
      </x:c>
      <x:c r="E220" s="145" t="n">
        <x:v>100</x:v>
      </x:c>
      <x:c r="F220" s="145" t="n">
        <x:v>22.3</x:v>
      </x:c>
      <x:c r="G220" s="145" t="n">
        <x:v>0.3002</x:v>
      </x:c>
    </x:row>
    <x:row r="221" ht="18" customHeight="1">
      <x:c r="A221" s="144" t="str">
        <x:v>2018-11</x:v>
      </x:c>
      <x:c r="B221" s="145" t="n">
        <x:v>267</x:v>
      </x:c>
      <x:c r="C221" s="145" t="n">
        <x:v>128.5</x:v>
      </x:c>
      <x:c r="D221" s="145" t="n">
        <x:v>96.7</x:v>
      </x:c>
      <x:c r="E221" s="145" t="n">
        <x:v>100</x:v>
      </x:c>
      <x:c r="F221" s="145" t="n">
        <x:v>138.5</x:v>
      </x:c>
      <x:c r="G221" s="145" t="n">
        <x:v>0.7273</x:v>
      </x:c>
    </x:row>
    <x:row r="222" ht="18" customHeight="1">
      <x:c r="A222" s="144" t="str">
        <x:v>2018-12</x:v>
      </x:c>
      <x:c r="B222" s="145" t="n">
        <x:v>204</x:v>
      </x:c>
      <x:c r="C222" s="145" t="n">
        <x:v>222</x:v>
      </x:c>
      <x:c r="D222" s="145" t="n">
        <x:v>100</x:v>
      </x:c>
      <x:c r="E222" s="145" t="n">
        <x:v>100</x:v>
      </x:c>
      <x:c r="F222" s="145" t="n">
        <x:v>-18</x:v>
      </x:c>
      <x:c r="G222" s="145" t="n">
        <x:v>-0.0842</x:v>
      </x:c>
    </x:row>
    <x:row r="223" ht="18" customHeight="1">
      <x:c r="A223" s="144" t="str">
        <x:v>2019-01</x:v>
      </x:c>
      <x:c r="B223" s="145" t="n">
        <x:v>269</x:v>
      </x:c>
      <x:c r="C223" s="145" t="n">
        <x:v>262.8</x:v>
      </x:c>
      <x:c r="D223" s="145" t="n">
        <x:v>100</x:v>
      </x:c>
      <x:c r="E223" s="145" t="n">
        <x:v>100</x:v>
      </x:c>
      <x:c r="F223" s="145" t="n">
        <x:v>6.2</x:v>
      </x:c>
      <x:c r="G223" s="145" t="n">
        <x:v>0.0232</x:v>
      </x:c>
    </x:row>
    <x:row r="224" ht="18" customHeight="1">
      <x:c r="A224" s="144" t="str">
        <x:v>2019-02</x:v>
      </x:c>
      <x:c r="B224" s="145" t="n">
        <x:v>477</x:v>
      </x:c>
      <x:c r="C224" s="145" t="n">
        <x:v>295.5</x:v>
      </x:c>
      <x:c r="D224" s="145" t="n">
        <x:v>100</x:v>
      </x:c>
      <x:c r="E224" s="145" t="n">
        <x:v>100</x:v>
      </x:c>
      <x:c r="F224" s="145" t="n">
        <x:v>181.5</x:v>
      </x:c>
      <x:c r="G224" s="145" t="n">
        <x:v>0.4776</x:v>
      </x:c>
    </x:row>
    <x:row r="225" ht="18" customHeight="1">
      <x:c r="A225" s="144" t="str">
        <x:v>2019-03</x:v>
      </x:c>
      <x:c r="B225" s="145" t="n">
        <x:v>212</x:v>
      </x:c>
      <x:c r="C225" s="145" t="n">
        <x:v>236.1</x:v>
      </x:c>
      <x:c r="D225" s="145" t="n">
        <x:v>100</x:v>
      </x:c>
      <x:c r="E225" s="145" t="n">
        <x:v>100</x:v>
      </x:c>
      <x:c r="F225" s="145" t="n">
        <x:v>-24.1</x:v>
      </x:c>
      <x:c r="G225" s="145" t="n">
        <x:v>-0.1072</x:v>
      </x:c>
    </x:row>
    <x:row r="226" ht="18" customHeight="1">
      <x:c r="A226" s="144" t="str">
        <x:v>2019-04</x:v>
      </x:c>
      <x:c r="B226" s="145" t="n">
        <x:v>294</x:v>
      </x:c>
      <x:c r="C226" s="145" t="n">
        <x:v>188.7</x:v>
      </x:c>
      <x:c r="D226" s="145" t="n">
        <x:v>96.7</x:v>
      </x:c>
      <x:c r="E226" s="145" t="n">
        <x:v>100</x:v>
      </x:c>
      <x:c r="F226" s="145" t="n">
        <x:v>105.3</x:v>
      </x:c>
      <x:c r="G226" s="145" t="n">
        <x:v>0.4415</x:v>
      </x:c>
    </x:row>
    <x:row r="227" ht="18" customHeight="1">
      <x:c r="A227" s="144" t="str">
        <x:v>2019-08</x:v>
      </x:c>
      <x:c r="B227" s="145" t="n">
        <x:v>86</x:v>
      </x:c>
      <x:c r="C227" s="145" t="n">
        <x:v>94.4</x:v>
      </x:c>
      <x:c r="D227" s="145" t="n">
        <x:v>100</x:v>
      </x:c>
      <x:c r="E227" s="145" t="n">
        <x:v>100</x:v>
      </x:c>
      <x:c r="F227" s="145" t="n">
        <x:v>-8.4</x:v>
      </x:c>
      <x:c r="G227" s="145" t="n">
        <x:v>-0.0922</x:v>
      </x:c>
    </x:row>
    <x:row r="228" ht="18" customHeight="1">
      <x:c r="A228" s="144" t="str">
        <x:v>2019-09</x:v>
      </x:c>
      <x:c r="B228" s="145" t="n">
        <x:v>146</x:v>
      </x:c>
      <x:c r="C228" s="145" t="n">
        <x:v>97.1</x:v>
      </x:c>
      <x:c r="D228" s="145" t="n">
        <x:v>100</x:v>
      </x:c>
      <x:c r="E228" s="145" t="n">
        <x:v>100</x:v>
      </x:c>
      <x:c r="F228" s="145" t="n">
        <x:v>48.9</x:v>
      </x:c>
      <x:c r="G228" s="145" t="n">
        <x:v>0.4044</x:v>
      </x:c>
    </x:row>
    <x:row r="229" ht="18" customHeight="1">
      <x:c r="A229" s="144" t="str">
        <x:v>2019-10</x:v>
      </x:c>
      <x:c r="B229" s="145" t="n">
        <x:v>273</x:v>
      </x:c>
      <x:c r="C229" s="145" t="n">
        <x:v>438.5</x:v>
      </x:c>
      <x:c r="D229" s="145" t="n">
        <x:v>100</x:v>
      </x:c>
      <x:c r="E229" s="145" t="n">
        <x:v>100</x:v>
      </x:c>
      <x:c r="F229" s="145" t="n">
        <x:v>-165.5</x:v>
      </x:c>
      <x:c r="G229" s="145" t="n">
        <x:v>-0.4725</x:v>
      </x:c>
    </x:row>
    <x:row r="230" ht="18" customHeight="1">
      <x:c r="A230" s="144" t="str">
        <x:v>2019-11</x:v>
      </x:c>
      <x:c r="B230" s="145" t="n">
        <x:v>101</x:v>
      </x:c>
      <x:c r="C230" s="145" t="n">
        <x:v>69.8</x:v>
      </x:c>
      <x:c r="D230" s="145" t="n">
        <x:v>96.7</x:v>
      </x:c>
      <x:c r="E230" s="145" t="n">
        <x:v>100</x:v>
      </x:c>
      <x:c r="F230" s="145" t="n">
        <x:v>31.2</x:v>
      </x:c>
      <x:c r="G230" s="145" t="n">
        <x:v>0.3651</x:v>
      </x:c>
    </x:row>
    <x:row r="231" ht="18" customHeight="1">
      <x:c r="A231" s="144" t="str">
        <x:v>2019-12</x:v>
      </x:c>
      <x:c r="B231" s="145" t="n">
        <x:v>334</x:v>
      </x:c>
      <x:c r="C231" s="145" t="n">
        <x:v>261.1</x:v>
      </x:c>
      <x:c r="D231" s="145" t="n">
        <x:v>100</x:v>
      </x:c>
      <x:c r="E231" s="145" t="n">
        <x:v>100</x:v>
      </x:c>
      <x:c r="F231" s="145" t="n">
        <x:v>72.9</x:v>
      </x:c>
      <x:c r="G231" s="145" t="n">
        <x:v>0.2454</x:v>
      </x:c>
    </x:row>
    <x:row r="232" ht="18" customHeight="1">
      <x:c r="A232" s="144" t="str">
        <x:v>2020-01</x:v>
      </x:c>
      <x:c r="B232" s="145" t="n">
        <x:v>477</x:v>
      </x:c>
      <x:c r="C232" s="145" t="n">
        <x:v>370.3</x:v>
      </x:c>
      <x:c r="D232" s="145" t="n">
        <x:v>100</x:v>
      </x:c>
      <x:c r="E232" s="145" t="n">
        <x:v>100</x:v>
      </x:c>
      <x:c r="F232" s="145" t="n">
        <x:v>106.7</x:v>
      </x:c>
      <x:c r="G232" s="145" t="n">
        <x:v>0.2526</x:v>
      </x:c>
    </x:row>
    <x:row r="233" ht="18" customHeight="1">
      <x:c r="A233" s="144" t="str">
        <x:v>2020-02</x:v>
      </x:c>
      <x:c r="B233" s="145" t="n">
        <x:v>245</x:v>
      </x:c>
      <x:c r="C233" s="145" t="n">
        <x:v>330.1</x:v>
      </x:c>
      <x:c r="D233" s="145" t="n">
        <x:v>100</x:v>
      </x:c>
      <x:c r="E233" s="145" t="n">
        <x:v>100</x:v>
      </x:c>
      <x:c r="F233" s="145" t="n">
        <x:v>-85.1</x:v>
      </x:c>
      <x:c r="G233" s="145" t="n">
        <x:v>-0.2971</x:v>
      </x:c>
    </x:row>
    <x:row r="234" ht="18" customHeight="1">
      <x:c r="A234" s="144" t="str">
        <x:v>2020-03</x:v>
      </x:c>
      <x:c r="B234" s="145" t="n">
        <x:v>340</x:v>
      </x:c>
      <x:c r="C234" s="145" t="n">
        <x:v>268.5</x:v>
      </x:c>
      <x:c r="D234" s="145" t="n">
        <x:v>96.8</x:v>
      </x:c>
      <x:c r="E234" s="145" t="n">
        <x:v>100</x:v>
      </x:c>
      <x:c r="F234" s="145" t="n">
        <x:v>71.5</x:v>
      </x:c>
      <x:c r="G234" s="145" t="n">
        <x:v>0.2353</x:v>
      </x:c>
    </x:row>
    <x:row r="235" ht="18" customHeight="1">
      <x:c r="A235" s="144" t="str">
        <x:v>2020-04</x:v>
      </x:c>
      <x:c r="B235" s="145" t="n">
        <x:v>269</x:v>
      </x:c>
      <x:c r="C235" s="145" t="n">
        <x:v>220.2</x:v>
      </x:c>
      <x:c r="D235" s="145" t="n">
        <x:v>100</x:v>
      </x:c>
      <x:c r="E235" s="145" t="n">
        <x:v>100</x:v>
      </x:c>
      <x:c r="F235" s="145" t="n">
        <x:v>48.8</x:v>
      </x:c>
      <x:c r="G235" s="145" t="n">
        <x:v>0.1994</x:v>
      </x:c>
    </x:row>
    <x:row r="236" ht="18" customHeight="1">
      <x:c r="A236" s="144" t="str">
        <x:v>2020-05</x:v>
      </x:c>
      <x:c r="B236" s="145" t="n">
        <x:v>506</x:v>
      </x:c>
      <x:c r="C236" s="145" t="n">
        <x:v>534.3</x:v>
      </x:c>
      <x:c r="D236" s="145" t="n">
        <x:v>100</x:v>
      </x:c>
      <x:c r="E236" s="145" t="n">
        <x:v>100</x:v>
      </x:c>
      <x:c r="F236" s="145" t="n">
        <x:v>-28.3</x:v>
      </x:c>
      <x:c r="G236" s="145" t="n">
        <x:v>-0.0543</x:v>
      </x:c>
    </x:row>
    <x:row r="237" ht="18" customHeight="1">
      <x:c r="A237" s="144" t="str">
        <x:v>2020-06</x:v>
      </x:c>
      <x:c r="B237" s="145" t="n">
        <x:v>416</x:v>
      </x:c>
      <x:c r="C237" s="145" t="n">
        <x:v>372.7</x:v>
      </x:c>
      <x:c r="D237" s="145" t="n">
        <x:v>100</x:v>
      </x:c>
      <x:c r="E237" s="145" t="n">
        <x:v>100</x:v>
      </x:c>
      <x:c r="F237" s="145" t="n">
        <x:v>43.3</x:v>
      </x:c>
      <x:c r="G237" s="145" t="n">
        <x:v>0.1096</x:v>
      </x:c>
    </x:row>
    <x:row r="238" ht="18" customHeight="1">
      <x:c r="A238" s="144" t="str">
        <x:v>2020-07</x:v>
      </x:c>
      <x:c r="B238" s="145" t="n">
        <x:v>390</x:v>
      </x:c>
      <x:c r="C238" s="145" t="n">
        <x:v>290.9</x:v>
      </x:c>
      <x:c r="D238" s="145" t="n">
        <x:v>100</x:v>
      </x:c>
      <x:c r="E238" s="145" t="n">
        <x:v>100</x:v>
      </x:c>
      <x:c r="F238" s="145" t="n">
        <x:v>99.1</x:v>
      </x:c>
      <x:c r="G238" s="145" t="n">
        <x:v>0.2923</x:v>
      </x:c>
    </x:row>
    <x:row r="239" ht="18" customHeight="1">
      <x:c r="A239" s="144" t="str">
        <x:v>2020-08</x:v>
      </x:c>
      <x:c r="B239" s="145" t="n">
        <x:v>87</x:v>
      </x:c>
      <x:c r="C239" s="145" t="n">
        <x:v>69</x:v>
      </x:c>
      <x:c r="D239" s="145" t="n">
        <x:v>96.8</x:v>
      </x:c>
      <x:c r="E239" s="145" t="n">
        <x:v>100</x:v>
      </x:c>
      <x:c r="F239" s="145" t="n">
        <x:v>18</x:v>
      </x:c>
      <x:c r="G239" s="145" t="n">
        <x:v>0.2288</x:v>
      </x:c>
    </x:row>
    <x:row r="240" ht="18" customHeight="1">
      <x:c r="A240" s="144" t="str">
        <x:v>2020-09</x:v>
      </x:c>
      <x:c r="B240" s="145" t="n">
        <x:v>77</x:v>
      </x:c>
      <x:c r="C240" s="145" t="n">
        <x:v>116.9</x:v>
      </x:c>
      <x:c r="D240" s="145" t="n">
        <x:v>100</x:v>
      </x:c>
      <x:c r="E240" s="145" t="n">
        <x:v>100</x:v>
      </x:c>
      <x:c r="F240" s="145" t="n">
        <x:v>-39.9</x:v>
      </x:c>
      <x:c r="G240" s="145" t="n">
        <x:v>-0.4131</x:v>
      </x:c>
    </x:row>
    <x:row r="241" ht="18" customHeight="1">
      <x:c r="A241" s="144" t="str">
        <x:v>2020-10</x:v>
      </x:c>
      <x:c r="B241" s="145" t="n">
        <x:v>119</x:v>
      </x:c>
      <x:c r="C241" s="145" t="n">
        <x:v>78.9</x:v>
      </x:c>
      <x:c r="D241" s="145" t="n">
        <x:v>100</x:v>
      </x:c>
      <x:c r="E241" s="145" t="n">
        <x:v>100</x:v>
      </x:c>
      <x:c r="F241" s="145" t="n">
        <x:v>40.1</x:v>
      </x:c>
      <x:c r="G241" s="145" t="n">
        <x:v>0.4067</x:v>
      </x:c>
    </x:row>
    <x:row r="242" ht="18" customHeight="1">
      <x:c r="A242" s="144" t="str">
        <x:v>2020-11</x:v>
      </x:c>
      <x:c r="B242" s="145" t="n">
        <x:v>37</x:v>
      </x:c>
      <x:c r="C242" s="145" t="n">
        <x:v>55.4</x:v>
      </x:c>
      <x:c r="D242" s="145" t="n">
        <x:v>100</x:v>
      </x:c>
      <x:c r="E242" s="145" t="n">
        <x:v>100</x:v>
      </x:c>
      <x:c r="F242" s="145" t="n">
        <x:v>-18.4</x:v>
      </x:c>
      <x:c r="G242" s="145" t="n">
        <x:v>-0.3949</x:v>
      </x:c>
    </x:row>
    <x:row r="243" ht="18" customHeight="1">
      <x:c r="A243" s="144" t="str">
        <x:v>2020-12</x:v>
      </x:c>
      <x:c r="B243" s="145" t="n">
        <x:v>202</x:v>
      </x:c>
      <x:c r="C243" s="145" t="n">
        <x:v>206</x:v>
      </x:c>
      <x:c r="D243" s="145" t="n">
        <x:v>100</x:v>
      </x:c>
      <x:c r="E243" s="145" t="n">
        <x:v>100</x:v>
      </x:c>
      <x:c r="F243" s="145" t="n">
        <x:v>-4</x:v>
      </x:c>
      <x:c r="G243" s="145" t="n">
        <x:v>-0.0195</x:v>
      </x:c>
    </x:row>
    <x:row r="244" ht="18" customHeight="1">
      <x:c r="A244" s="144" t="str">
        <x:v>2021-01</x:v>
      </x:c>
      <x:c r="B244" s="145" t="n">
        <x:v>451</x:v>
      </x:c>
      <x:c r="C244" s="145" t="n">
        <x:v>538.4</x:v>
      </x:c>
      <x:c r="D244" s="145" t="n">
        <x:v>100</x:v>
      </x:c>
      <x:c r="E244" s="145" t="n">
        <x:v>100</x:v>
      </x:c>
      <x:c r="F244" s="145" t="n">
        <x:v>-87.4</x:v>
      </x:c>
      <x:c r="G244" s="145" t="n">
        <x:v>-0.1768</x:v>
      </x:c>
    </x:row>
    <x:row r="245" ht="18" customHeight="1">
      <x:c r="A245" s="144" t="str">
        <x:v>2021-02</x:v>
      </x:c>
      <x:c r="B245" s="145" t="n">
        <x:v>183</x:v>
      </x:c>
      <x:c r="C245" s="145" t="n">
        <x:v>275.2</x:v>
      </x:c>
      <x:c r="D245" s="145" t="n">
        <x:v>100</x:v>
      </x:c>
      <x:c r="E245" s="145" t="n">
        <x:v>100</x:v>
      </x:c>
      <x:c r="F245" s="145" t="n">
        <x:v>-92.2</x:v>
      </x:c>
      <x:c r="G245" s="145" t="n">
        <x:v>-0.4062</x:v>
      </x:c>
    </x:row>
    <x:row r="246" ht="18" customHeight="1">
      <x:c r="A246" s="144" t="str">
        <x:v>2021-03</x:v>
      </x:c>
      <x:c r="B246" s="145" t="n">
        <x:v>500</x:v>
      </x:c>
      <x:c r="C246" s="145" t="n">
        <x:v>579.2</x:v>
      </x:c>
      <x:c r="D246" s="145" t="n">
        <x:v>100</x:v>
      </x:c>
      <x:c r="E246" s="145" t="n">
        <x:v>100</x:v>
      </x:c>
      <x:c r="F246" s="145" t="n">
        <x:v>-79.2</x:v>
      </x:c>
      <x:c r="G246" s="145" t="n">
        <x:v>-0.1468</x:v>
      </x:c>
    </x:row>
    <x:row r="247" ht="18" customHeight="1">
      <x:c r="A247" s="144" t="str">
        <x:v>2021-04</x:v>
      </x:c>
      <x:c r="B247" s="145" t="n">
        <x:v>325</x:v>
      </x:c>
      <x:c r="C247" s="145" t="n">
        <x:v>268.1</x:v>
      </x:c>
      <x:c r="D247" s="145" t="n">
        <x:v>100</x:v>
      </x:c>
      <x:c r="E247" s="145" t="n">
        <x:v>100</x:v>
      </x:c>
      <x:c r="F247" s="145" t="n">
        <x:v>56.9</x:v>
      </x:c>
      <x:c r="G247" s="145" t="n">
        <x:v>0.1918</x:v>
      </x:c>
    </x:row>
    <x:row r="248" ht="18" customHeight="1">
      <x:c r="A248" s="144" t="str">
        <x:v>2021-05</x:v>
      </x:c>
      <x:c r="B248" s="145" t="n">
        <x:v>219</x:v>
      </x:c>
      <x:c r="C248" s="145" t="n">
        <x:v>187.9</x:v>
      </x:c>
      <x:c r="D248" s="145" t="n">
        <x:v>100</x:v>
      </x:c>
      <x:c r="E248" s="145" t="n">
        <x:v>100</x:v>
      </x:c>
      <x:c r="F248" s="145" t="n">
        <x:v>31.1</x:v>
      </x:c>
      <x:c r="G248" s="145" t="n">
        <x:v>0.1524</x:v>
      </x:c>
    </x:row>
    <x:row r="249" ht="18" customHeight="1">
      <x:c r="A249" s="144" t="str">
        <x:v>2021-06</x:v>
      </x:c>
      <x:c r="B249" s="145" t="n">
        <x:v>296</x:v>
      </x:c>
      <x:c r="C249" s="145" t="n">
        <x:v>358.1</x:v>
      </x:c>
      <x:c r="D249" s="145" t="n">
        <x:v>100</x:v>
      </x:c>
      <x:c r="E249" s="145" t="n">
        <x:v>100</x:v>
      </x:c>
      <x:c r="F249" s="145" t="n">
        <x:v>-62.1</x:v>
      </x:c>
      <x:c r="G249" s="145" t="n">
        <x:v>-0.1899</x:v>
      </x:c>
    </x:row>
    <x:row r="250" ht="18" customHeight="1">
      <x:c r="A250" s="144" t="str">
        <x:v>2021-07</x:v>
      </x:c>
      <x:c r="B250" s="145" t="n">
        <x:v>77</x:v>
      </x:c>
      <x:c r="C250" s="145" t="n">
        <x:v>100.1</x:v>
      </x:c>
      <x:c r="D250" s="145" t="n">
        <x:v>100</x:v>
      </x:c>
      <x:c r="E250" s="145" t="n">
        <x:v>100</x:v>
      </x:c>
      <x:c r="F250" s="145" t="n">
        <x:v>-23.1</x:v>
      </x:c>
      <x:c r="G250" s="145" t="n">
        <x:v>-0.2594</x:v>
      </x:c>
    </x:row>
    <x:row r="251" ht="18" customHeight="1">
      <x:c r="A251" s="144" t="str">
        <x:v>2021-08</x:v>
      </x:c>
      <x:c r="B251" s="145" t="n">
        <x:v>216</x:v>
      </x:c>
      <x:c r="C251" s="145" t="n">
        <x:v>206.5</x:v>
      </x:c>
      <x:c r="D251" s="145" t="n">
        <x:v>100</x:v>
      </x:c>
      <x:c r="E251" s="145" t="n">
        <x:v>100</x:v>
      </x:c>
      <x:c r="F251" s="145" t="n">
        <x:v>9.5</x:v>
      </x:c>
      <x:c r="G251" s="145" t="n">
        <x:v>0.0448</x:v>
      </x:c>
    </x:row>
    <x:row r="252" ht="18" customHeight="1">
      <x:c r="A252" s="144" t="str">
        <x:v>2021-09</x:v>
      </x:c>
      <x:c r="B252" s="145" t="n">
        <x:v>258</x:v>
      </x:c>
      <x:c r="C252" s="145" t="n">
        <x:v>221.7</x:v>
      </x:c>
      <x:c r="D252" s="145" t="n">
        <x:v>100</x:v>
      </x:c>
      <x:c r="E252" s="145" t="n">
        <x:v>100</x:v>
      </x:c>
      <x:c r="F252" s="145" t="n">
        <x:v>36.3</x:v>
      </x:c>
      <x:c r="G252" s="145" t="n">
        <x:v>0.151</x:v>
      </x:c>
    </x:row>
    <x:row r="253" ht="18" customHeight="1">
      <x:c r="A253" s="144" t="str">
        <x:v>2021-10</x:v>
      </x:c>
      <x:c r="B253" s="145" t="n">
        <x:v>158</x:v>
      </x:c>
      <x:c r="C253" s="145" t="n">
        <x:v>101.6</x:v>
      </x:c>
      <x:c r="D253" s="145" t="n">
        <x:v>100</x:v>
      </x:c>
      <x:c r="E253" s="145" t="n">
        <x:v>96.8</x:v>
      </x:c>
      <x:c r="F253" s="145" t="n">
        <x:v>56.4</x:v>
      </x:c>
      <x:c r="G253" s="145" t="n">
        <x:v>0.4381</x:v>
      </x:c>
    </x:row>
    <x:row r="254" ht="18" customHeight="1">
      <x:c r="A254" s="144" t="str">
        <x:v>2021-11</x:v>
      </x:c>
      <x:c r="B254" s="145" t="n">
        <x:v>50</x:v>
      </x:c>
      <x:c r="C254" s="145" t="n">
        <x:v>97.2</x:v>
      </x:c>
      <x:c r="D254" s="145" t="n">
        <x:v>100</x:v>
      </x:c>
      <x:c r="E254" s="145" t="n">
        <x:v>100</x:v>
      </x:c>
      <x:c r="F254" s="145" t="n">
        <x:v>-47.2</x:v>
      </x:c>
      <x:c r="G254" s="145" t="n">
        <x:v>-0.6552</x:v>
      </x:c>
    </x:row>
    <x:row r="255" ht="18" customHeight="1">
      <x:c r="A255" s="144" t="str">
        <x:v>2021-12</x:v>
      </x:c>
      <x:c r="B255" s="145" t="n">
        <x:v>258</x:v>
      </x:c>
      <x:c r="C255" s="145" t="n">
        <x:v>331.6</x:v>
      </x:c>
      <x:c r="D255" s="145" t="n">
        <x:v>100</x:v>
      </x:c>
      <x:c r="E255" s="145" t="n">
        <x:v>100</x:v>
      </x:c>
      <x:c r="F255" s="145" t="n">
        <x:v>-73.6</x:v>
      </x:c>
      <x:c r="G255" s="145" t="n">
        <x:v>-0.2501</x:v>
      </x:c>
    </x:row>
    <x:row r="256" ht="18" customHeight="1">
      <x:c r="A256" s="144" t="str">
        <x:v>2022-01</x:v>
      </x:c>
      <x:c r="B256" s="145" t="n">
        <x:v>404</x:v>
      </x:c>
      <x:c r="C256" s="145" t="n">
        <x:v>218.4</x:v>
      </x:c>
      <x:c r="D256" s="145" t="n">
        <x:v>96.8</x:v>
      </x:c>
      <x:c r="E256" s="145" t="n">
        <x:v>100</x:v>
      </x:c>
      <x:c r="F256" s="145" t="n">
        <x:v>185.6</x:v>
      </x:c>
      <x:c r="G256" s="145" t="n">
        <x:v>0.613</x:v>
      </x:c>
    </x:row>
    <x:row r="257" ht="18" customHeight="1">
      <x:c r="A257" s="144" t="str">
        <x:v>2022-02</x:v>
      </x:c>
      <x:c r="B257" s="145" t="n">
        <x:v>268</x:v>
      </x:c>
      <x:c r="C257" s="145" t="n">
        <x:v>349.8</x:v>
      </x:c>
      <x:c r="D257" s="145" t="n">
        <x:v>100</x:v>
      </x:c>
      <x:c r="E257" s="145" t="n">
        <x:v>100</x:v>
      </x:c>
      <x:c r="F257" s="145" t="n">
        <x:v>-81.8</x:v>
      </x:c>
      <x:c r="G257" s="145" t="n">
        <x:v>-0.2655</x:v>
      </x:c>
    </x:row>
    <x:row r="258" ht="18" customHeight="1">
      <x:c r="A258" s="144" t="str">
        <x:v>2022-03</x:v>
      </x:c>
      <x:c r="B258" s="145" t="n">
        <x:v>348</x:v>
      </x:c>
      <x:c r="C258" s="145" t="n">
        <x:v>359.3</x:v>
      </x:c>
      <x:c r="D258" s="145" t="n">
        <x:v>100</x:v>
      </x:c>
      <x:c r="E258" s="145" t="n">
        <x:v>100</x:v>
      </x:c>
      <x:c r="F258" s="145" t="n">
        <x:v>-11.3</x:v>
      </x:c>
      <x:c r="G258" s="145" t="n">
        <x:v>-0.0319</x:v>
      </x:c>
    </x:row>
    <x:row r="259" ht="18" customHeight="1">
      <x:c r="A259" s="144" t="str">
        <x:v>2022-04</x:v>
      </x:c>
      <x:c r="B259" s="145" t="n">
        <x:v>555</x:v>
      </x:c>
      <x:c r="C259" s="145" t="n">
        <x:v>378.8</x:v>
      </x:c>
      <x:c r="D259" s="145" t="n">
        <x:v>100</x:v>
      </x:c>
      <x:c r="E259" s="145" t="n">
        <x:v>100</x:v>
      </x:c>
      <x:c r="F259" s="145" t="n">
        <x:v>176.2</x:v>
      </x:c>
      <x:c r="G259" s="145" t="n">
        <x:v>0.3811</x:v>
      </x:c>
    </x:row>
    <x:row r="260" ht="18" customHeight="1">
      <x:c r="A260" s="144" t="str">
        <x:v>2022-05</x:v>
      </x:c>
      <x:c r="B260" s="145" t="n">
        <x:v>614</x:v>
      </x:c>
      <x:c r="C260" s="145" t="n">
        <x:v>681.5</x:v>
      </x:c>
      <x:c r="D260" s="145" t="n">
        <x:v>100</x:v>
      </x:c>
      <x:c r="E260" s="145" t="n">
        <x:v>100</x:v>
      </x:c>
      <x:c r="F260" s="145" t="n">
        <x:v>-67.5</x:v>
      </x:c>
      <x:c r="G260" s="145" t="n">
        <x:v>-0.1041</x:v>
      </x:c>
    </x:row>
    <x:row r="261" ht="18" customHeight="1">
      <x:c r="A261" s="144" t="str">
        <x:v>2022-06</x:v>
      </x:c>
      <x:c r="B261" s="145" t="n">
        <x:v>582</x:v>
      </x:c>
      <x:c r="C261" s="145" t="n">
        <x:v>577.4</x:v>
      </x:c>
      <x:c r="D261" s="145" t="n">
        <x:v>100</x:v>
      </x:c>
      <x:c r="E261" s="145" t="n">
        <x:v>100</x:v>
      </x:c>
      <x:c r="F261" s="145" t="n">
        <x:v>4.6</x:v>
      </x:c>
      <x:c r="G261" s="145" t="n">
        <x:v>0.0079</x:v>
      </x:c>
    </x:row>
    <x:row r="262" ht="18" customHeight="1">
      <x:c r="A262" s="144" t="str">
        <x:v>2022-07</x:v>
      </x:c>
      <x:c r="B262" s="145" t="n">
        <x:v>114</x:v>
      </x:c>
      <x:c r="C262" s="145" t="n">
        <x:v>129.6</x:v>
      </x:c>
      <x:c r="D262" s="145" t="n">
        <x:v>100</x:v>
      </x:c>
      <x:c r="E262" s="145" t="n">
        <x:v>100</x:v>
      </x:c>
      <x:c r="F262" s="145" t="n">
        <x:v>-15.6</x:v>
      </x:c>
      <x:c r="G262" s="145" t="n">
        <x:v>-0.1272</x:v>
      </x:c>
    </x:row>
    <x:row r="263" ht="18" customHeight="1">
      <x:c r="A263" s="144" t="str">
        <x:v>2022-08</x:v>
      </x:c>
      <x:c r="B263" s="145" t="n">
        <x:v>122</x:v>
      </x:c>
      <x:c r="C263" s="145" t="n">
        <x:v>102.2</x:v>
      </x:c>
      <x:c r="D263" s="145" t="n">
        <x:v>100</x:v>
      </x:c>
      <x:c r="E263" s="145" t="n">
        <x:v>100</x:v>
      </x:c>
      <x:c r="F263" s="145" t="n">
        <x:v>19.8</x:v>
      </x:c>
      <x:c r="G263" s="145" t="n">
        <x:v>0.1755</x:v>
      </x:c>
    </x:row>
    <x:row r="264" ht="18" customHeight="1">
      <x:c r="A264" s="144" t="str">
        <x:v>2022-09</x:v>
      </x:c>
      <x:c r="B264" s="145" t="n">
        <x:v>213</x:v>
      </x:c>
      <x:c r="C264" s="145" t="n">
        <x:v>208.4</x:v>
      </x:c>
      <x:c r="D264" s="145" t="n">
        <x:v>100</x:v>
      </x:c>
      <x:c r="E264" s="145" t="n">
        <x:v>100</x:v>
      </x:c>
      <x:c r="F264" s="145" t="n">
        <x:v>4.6</x:v>
      </x:c>
      <x:c r="G264" s="145" t="n">
        <x:v>0.0217</x:v>
      </x:c>
    </x:row>
    <x:row r="265" ht="18" customHeight="1">
      <x:c r="A265" s="144" t="str">
        <x:v>2022-10</x:v>
      </x:c>
      <x:c r="B265" s="145" t="n">
        <x:v>34</x:v>
      </x:c>
      <x:c r="C265" s="145" t="n">
        <x:v>51.6</x:v>
      </x:c>
      <x:c r="D265" s="145" t="n">
        <x:v>100</x:v>
      </x:c>
      <x:c r="E265" s="145" t="n">
        <x:v>100</x:v>
      </x:c>
      <x:c r="F265" s="145" t="n">
        <x:v>-17.6</x:v>
      </x:c>
      <x:c r="G265" s="145" t="n">
        <x:v>-0.4074</x:v>
      </x:c>
    </x:row>
    <x:row r="266" ht="18" customHeight="1">
      <x:c r="A266" s="144" t="str">
        <x:v>2022-11</x:v>
      </x:c>
      <x:c r="B266" s="145" t="n">
        <x:v>32</x:v>
      </x:c>
      <x:c r="C266" s="145" t="n">
        <x:v>35.8</x:v>
      </x:c>
      <x:c r="D266" s="145" t="n">
        <x:v>100</x:v>
      </x:c>
      <x:c r="E266" s="145" t="n">
        <x:v>100</x:v>
      </x:c>
      <x:c r="F266" s="145" t="n">
        <x:v>-3.8</x:v>
      </x:c>
      <x:c r="G266" s="145" t="n">
        <x:v>-0.109</x:v>
      </x:c>
    </x:row>
    <x:row r="267" ht="18" customHeight="1">
      <x:c r="A267" s="144" t="str">
        <x:v>2022-12</x:v>
      </x:c>
      <x:c r="B267" s="145" t="n">
        <x:v>118</x:v>
      </x:c>
      <x:c r="C267" s="145" t="n">
        <x:v>154.2</x:v>
      </x:c>
      <x:c r="D267" s="145" t="n">
        <x:v>100</x:v>
      </x:c>
      <x:c r="E267" s="145" t="n">
        <x:v>100</x:v>
      </x:c>
      <x:c r="F267" s="145" t="n">
        <x:v>-36.2</x:v>
      </x:c>
      <x:c r="G267" s="145" t="n">
        <x:v>-0.2656</x:v>
      </x:c>
    </x:row>
    <x:row r="268" ht="18" customHeight="1">
      <x:c r="A268" s="144" t="str">
        <x:v>2023-01</x:v>
      </x:c>
      <x:c r="B268" s="145" t="n">
        <x:v>189</x:v>
      </x:c>
      <x:c r="C268" s="145" t="n">
        <x:v>373.2</x:v>
      </x:c>
      <x:c r="D268" s="145" t="n">
        <x:v>100</x:v>
      </x:c>
      <x:c r="E268" s="145" t="n">
        <x:v>100</x:v>
      </x:c>
      <x:c r="F268" s="145" t="n">
        <x:v>-184.2</x:v>
      </x:c>
      <x:c r="G268" s="145" t="n">
        <x:v>-0.6778</x:v>
      </x:c>
    </x:row>
    <x:row r="269" ht="18" customHeight="1">
      <x:c r="A269" s="144" t="str">
        <x:v>2023-02</x:v>
      </x:c>
      <x:c r="B269" s="145" t="n">
        <x:v>146</x:v>
      </x:c>
      <x:c r="C269" s="145" t="n">
        <x:v>132.8</x:v>
      </x:c>
      <x:c r="D269" s="145" t="n">
        <x:v>100</x:v>
      </x:c>
      <x:c r="E269" s="145" t="n">
        <x:v>100</x:v>
      </x:c>
      <x:c r="F269" s="145" t="n">
        <x:v>13.2</x:v>
      </x:c>
      <x:c r="G269" s="145" t="n">
        <x:v>0.0941</x:v>
      </x:c>
    </x:row>
    <x:row r="270" ht="18" customHeight="1">
      <x:c r="A270" s="144" t="str">
        <x:v>2023-03</x:v>
      </x:c>
      <x:c r="B270" s="145" t="n">
        <x:v>297</x:v>
      </x:c>
      <x:c r="C270" s="145" t="n">
        <x:v>389.7</x:v>
      </x:c>
      <x:c r="D270" s="145" t="n">
        <x:v>100</x:v>
      </x:c>
      <x:c r="E270" s="145" t="n">
        <x:v>100</x:v>
      </x:c>
      <x:c r="F270" s="145" t="n">
        <x:v>-92.7</x:v>
      </x:c>
      <x:c r="G270" s="145" t="n">
        <x:v>-0.2708</x:v>
      </x:c>
    </x:row>
    <x:row r="271" ht="18" customHeight="1">
      <x:c r="A271" s="144" t="str">
        <x:v>2023-04</x:v>
      </x:c>
      <x:c r="B271" s="145" t="n">
        <x:v>283</x:v>
      </x:c>
      <x:c r="C271" s="145" t="n">
        <x:v>482.6</x:v>
      </x:c>
      <x:c r="D271" s="145" t="n">
        <x:v>100</x:v>
      </x:c>
      <x:c r="E271" s="145" t="n">
        <x:v>100</x:v>
      </x:c>
      <x:c r="F271" s="145" t="n">
        <x:v>-199.6</x:v>
      </x:c>
      <x:c r="G271" s="145" t="n">
        <x:v>-0.5323</x:v>
      </x:c>
    </x:row>
    <x:row r="272" ht="18" customHeight="1">
      <x:c r="A272" s="144" t="str">
        <x:v>2023-05</x:v>
      </x:c>
      <x:c r="B272" s="145" t="n">
        <x:v>432</x:v>
      </x:c>
      <x:c r="C272" s="145" t="n">
        <x:v>530.2</x:v>
      </x:c>
      <x:c r="D272" s="145" t="n">
        <x:v>100</x:v>
      </x:c>
      <x:c r="E272" s="145" t="n">
        <x:v>100</x:v>
      </x:c>
      <x:c r="F272" s="145" t="n">
        <x:v>-98.2</x:v>
      </x:c>
      <x:c r="G272" s="145" t="n">
        <x:v>-0.2044</x:v>
      </x:c>
    </x:row>
    <x:row r="273" ht="18" customHeight="1">
      <x:c r="A273" s="144" t="str">
        <x:v>2023-06</x:v>
      </x:c>
      <x:c r="B273" s="145" t="n">
        <x:v>541</x:v>
      </x:c>
      <x:c r="C273" s="145" t="n">
        <x:v>527.9</x:v>
      </x:c>
      <x:c r="D273" s="145" t="n">
        <x:v>100</x:v>
      </x:c>
      <x:c r="E273" s="145" t="n">
        <x:v>100</x:v>
      </x:c>
      <x:c r="F273" s="145" t="n">
        <x:v>13.1</x:v>
      </x:c>
      <x:c r="G273" s="145" t="n">
        <x:v>0.0245</x:v>
      </x:c>
    </x:row>
    <x:row r="274" ht="18" customHeight="1">
      <x:c r="A274" s="144" t="str">
        <x:v>2023-07</x:v>
      </x:c>
      <x:c r="B274" s="145" t="n">
        <x:v>433</x:v>
      </x:c>
      <x:c r="C274" s="145" t="n">
        <x:v>412.9</x:v>
      </x:c>
      <x:c r="D274" s="145" t="n">
        <x:v>100</x:v>
      </x:c>
      <x:c r="E274" s="145" t="n">
        <x:v>100</x:v>
      </x:c>
      <x:c r="F274" s="145" t="n">
        <x:v>20.1</x:v>
      </x:c>
      <x:c r="G274" s="145" t="n">
        <x:v>0.0474</x:v>
      </x:c>
    </x:row>
    <x:row r="275" ht="18" customHeight="1">
      <x:c r="A275" s="144" t="str">
        <x:v>2023-08</x:v>
      </x:c>
      <x:c r="B275" s="145" t="n">
        <x:v>217</x:v>
      </x:c>
      <x:c r="C275" s="145" t="n">
        <x:v>145.6</x:v>
      </x:c>
      <x:c r="D275" s="145" t="n">
        <x:v>100</x:v>
      </x:c>
      <x:c r="E275" s="145" t="n">
        <x:v>100</x:v>
      </x:c>
      <x:c r="F275" s="145" t="n">
        <x:v>71.4</x:v>
      </x:c>
      <x:c r="G275" s="145" t="n">
        <x:v>0.3968</x:v>
      </x:c>
    </x:row>
    <x:row r="276" ht="18" customHeight="1">
      <x:c r="A276" s="144" t="str">
        <x:v>2023-09</x:v>
      </x:c>
      <x:c r="B276" s="145" t="n">
        <x:v>557</x:v>
      </x:c>
      <x:c r="C276" s="145" t="n">
        <x:v>113.8</x:v>
      </x:c>
      <x:c r="D276" s="145" t="n">
        <x:v>100</x:v>
      </x:c>
      <x:c r="E276" s="145" t="n">
        <x:v>100</x:v>
      </x:c>
      <x:c r="F276" s="145" t="n">
        <x:v>443.2</x:v>
      </x:c>
      <x:c r="G276" s="145" t="n">
        <x:v>1.5812</x:v>
      </x:c>
    </x:row>
    <x:row r="277" ht="18" customHeight="1">
      <x:c r="A277" s="144" t="str">
        <x:v>2023-11</x:v>
      </x:c>
      <x:c r="B277" s="145" t="n">
        <x:v>652</x:v>
      </x:c>
      <x:c r="C277" s="145" t="n">
        <x:v>117</x:v>
      </x:c>
      <x:c r="D277" s="145" t="n">
        <x:v>96.7</x:v>
      </x:c>
      <x:c r="E277" s="145" t="n">
        <x:v>100</x:v>
      </x:c>
      <x:c r="F277" s="145" t="n">
        <x:v>535</x:v>
      </x:c>
      <x:c r="G277" s="145" t="n">
        <x:v>1.7109</x:v>
      </x:c>
    </x:row>
    <x:row r="278" ht="18" customHeight="1">
      <x:c r="A278" s="144" t="str">
        <x:v>2023-12</x:v>
      </x:c>
      <x:c r="B278" s="145" t="n">
        <x:v>750</x:v>
      </x:c>
      <x:c r="C278" s="145" t="n">
        <x:v>558.6</x:v>
      </x:c>
      <x:c r="D278" s="145" t="n">
        <x:v>96.8</x:v>
      </x:c>
      <x:c r="E278" s="145" t="n">
        <x:v>100</x:v>
      </x:c>
      <x:c r="F278" s="145" t="n">
        <x:v>191.4</x:v>
      </x:c>
      <x:c r="G278" s="145" t="n">
        <x:v>0.2942</x:v>
      </x:c>
    </x:row>
    <x:row r="279" ht="18" customHeight="1">
      <x:c r="A279" s="144" t="str">
        <x:v>2024-01</x:v>
      </x:c>
      <x:c r="B279" s="145" t="n">
        <x:v>582</x:v>
      </x:c>
      <x:c r="C279" s="145" t="n">
        <x:v>396</x:v>
      </x:c>
      <x:c r="D279" s="145" t="n">
        <x:v>100</x:v>
      </x:c>
      <x:c r="E279" s="145" t="n">
        <x:v>100</x:v>
      </x:c>
      <x:c r="F279" s="145" t="n">
        <x:v>186</x:v>
      </x:c>
      <x:c r="G279" s="145" t="n">
        <x:v>0.3843</x:v>
      </x:c>
    </x:row>
    <x:row r="280" ht="18" customHeight="1">
      <x:c r="A280" s="144" t="str">
        <x:v>2024-02</x:v>
      </x:c>
      <x:c r="B280" s="145" t="n">
        <x:v>1175</x:v>
      </x:c>
      <x:c r="C280" s="145" t="n">
        <x:v>319</x:v>
      </x:c>
      <x:c r="D280" s="145" t="n">
        <x:v>93.1</x:v>
      </x:c>
      <x:c r="E280" s="145" t="n">
        <x:v>100</x:v>
      </x:c>
      <x:c r="F280" s="145" t="n">
        <x:v>856</x:v>
      </x:c>
      <x:c r="G280" s="145" t="n">
        <x:v>1.3016</x:v>
      </x:c>
    </x:row>
    <x:row r="281" ht="18" customHeight="1">
      <x:c r="A281" s="144" t="str">
        <x:v>2024-03</x:v>
      </x:c>
      <x:c r="B281" s="145" t="n">
        <x:v>784</x:v>
      </x:c>
      <x:c r="C281" s="145" t="n">
        <x:v>257.3</x:v>
      </x:c>
      <x:c r="D281" s="145" t="n">
        <x:v>100</x:v>
      </x:c>
      <x:c r="E281" s="145" t="n">
        <x:v>100</x:v>
      </x:c>
      <x:c r="F281" s="145" t="n">
        <x:v>526.7</x:v>
      </x:c>
      <x:c r="G281" s="145" t="n">
        <x:v>1.1116</x:v>
      </x:c>
    </x:row>
    <x:row r="282" ht="18" customHeight="1">
      <x:c r="A282" s="144" t="str">
        <x:v>2024-04</x:v>
      </x:c>
      <x:c r="B282" s="145" t="n">
        <x:v>514</x:v>
      </x:c>
      <x:c r="C282" s="145" t="n">
        <x:v>303.5</x:v>
      </x:c>
      <x:c r="D282" s="145" t="n">
        <x:v>96.7</x:v>
      </x:c>
      <x:c r="E282" s="145" t="n">
        <x:v>100</x:v>
      </x:c>
      <x:c r="F282" s="145" t="n">
        <x:v>210.5</x:v>
      </x:c>
      <x:c r="G282" s="145" t="n">
        <x:v>0.5255</x:v>
      </x:c>
    </x:row>
    <x:row r="283" ht="18" customHeight="1">
      <x:c r="A283" s="144" t="str">
        <x:v>2024-05</x:v>
      </x:c>
      <x:c r="B283" s="145" t="n">
        <x:v>904</x:v>
      </x:c>
      <x:c r="C283" s="145" t="n">
        <x:v>678.7</x:v>
      </x:c>
      <x:c r="D283" s="145" t="n">
        <x:v>100</x:v>
      </x:c>
      <x:c r="E283" s="145" t="n">
        <x:v>100</x:v>
      </x:c>
      <x:c r="F283" s="145" t="n">
        <x:v>225.3</x:v>
      </x:c>
      <x:c r="G283" s="145" t="n">
        <x:v>0.2863</x:v>
      </x:c>
    </x:row>
    <x:row r="284" ht="18" customHeight="1">
      <x:c r="A284" s="144" t="str">
        <x:v>2024-06</x:v>
      </x:c>
      <x:c r="B284" s="145" t="n">
        <x:v>513</x:v>
      </x:c>
      <x:c r="C284" s="145" t="n">
        <x:v>474.9</x:v>
      </x:c>
      <x:c r="D284" s="145" t="n">
        <x:v>100</x:v>
      </x:c>
      <x:c r="E284" s="145" t="n">
        <x:v>100</x:v>
      </x:c>
      <x:c r="F284" s="145" t="n">
        <x:v>38.1</x:v>
      </x:c>
      <x:c r="G284" s="145" t="n">
        <x:v>0.077</x:v>
      </x:c>
    </x:row>
    <x:row r="285" ht="18" customHeight="1">
      <x:c r="A285" s="144" t="str">
        <x:v>2024-07</x:v>
      </x:c>
      <x:c r="B285" s="145" t="n">
        <x:v>233</x:v>
      </x:c>
      <x:c r="C285" s="145" t="n">
        <x:v>86.8</x:v>
      </x:c>
      <x:c r="D285" s="145" t="n">
        <x:v>100</x:v>
      </x:c>
      <x:c r="E285" s="145" t="n">
        <x:v>100</x:v>
      </x:c>
      <x:c r="F285" s="145" t="n">
        <x:v>146.2</x:v>
      </x:c>
      <x:c r="G285" s="145" t="n">
        <x:v>0.9803</x:v>
      </x:c>
    </x:row>
    <x:row r="286" ht="18" customHeight="1">
      <x:c r="A286" s="144" t="str">
        <x:v>2024-08</x:v>
      </x:c>
      <x:c r="B286" s="145" t="n">
        <x:v>145</x:v>
      </x:c>
      <x:c r="C286" s="145" t="n">
        <x:v>137</x:v>
      </x:c>
      <x:c r="D286" s="145" t="n">
        <x:v>100</x:v>
      </x:c>
      <x:c r="E286" s="145" t="n">
        <x:v>100</x:v>
      </x:c>
      <x:c r="F286" s="145" t="n">
        <x:v>8</x:v>
      </x:c>
      <x:c r="G286" s="145" t="n">
        <x:v>0.0564</x:v>
      </x:c>
    </x:row>
    <x:row r="287" ht="18" customHeight="1">
      <x:c r="A287" s="144" t="str">
        <x:v>2024-09</x:v>
      </x:c>
      <x:c r="B287" s="145" t="n">
        <x:v>45</x:v>
      </x:c>
      <x:c r="C287" s="145" t="n">
        <x:v>59.6</x:v>
      </x:c>
      <x:c r="D287" s="145" t="n">
        <x:v>100</x:v>
      </x:c>
      <x:c r="E287" s="145" t="n">
        <x:v>100</x:v>
      </x:c>
      <x:c r="F287" s="145" t="n">
        <x:v>-14.6</x:v>
      </x:c>
      <x:c r="G287" s="145" t="n">
        <x:v>-0.2757</x:v>
      </x:c>
    </x:row>
    <x:row r="288" ht="18" customHeight="1">
      <x:c r="A288" s="144" t="str">
        <x:v>2024-10</x:v>
      </x:c>
      <x:c r="B288" s="145" t="n">
        <x:v>254</x:v>
      </x:c>
      <x:c r="C288" s="145" t="n">
        <x:v>168.2</x:v>
      </x:c>
      <x:c r="D288" s="145" t="n">
        <x:v>90.3</x:v>
      </x:c>
      <x:c r="E288" s="145" t="n">
        <x:v>100</x:v>
      </x:c>
      <x:c r="F288" s="145" t="n">
        <x:v>85.8</x:v>
      </x:c>
      <x:c r="G288" s="145" t="n">
        <x:v>0.4102</x:v>
      </x:c>
    </x:row>
    <x:row r="289" ht="18" customHeight="1">
      <x:c r="A289" s="144" t="str">
        <x:v>2024-11</x:v>
      </x:c>
      <x:c r="B289" s="145" t="n">
        <x:v>15</x:v>
      </x:c>
      <x:c r="C289" s="145" t="n">
        <x:v>19.6</x:v>
      </x:c>
      <x:c r="D289" s="145" t="n">
        <x:v>100</x:v>
      </x:c>
      <x:c r="E289" s="145" t="n">
        <x:v>100</x:v>
      </x:c>
      <x:c r="F289" s="145" t="n">
        <x:v>-4.6</x:v>
      </x:c>
      <x:c r="G289" s="145" t="n">
        <x:v>-0.2527</x:v>
      </x:c>
    </x:row>
    <x:row r="290" ht="18" customHeight="1">
      <x:c r="A290" s="144" t="str">
        <x:v>2024-12</x:v>
      </x:c>
      <x:c r="B290" s="145" t="n">
        <x:v>204</x:v>
      </x:c>
      <x:c r="C290" s="145" t="n">
        <x:v>153.8</x:v>
      </x:c>
      <x:c r="D290" s="145" t="n">
        <x:v>100</x:v>
      </x:c>
      <x:c r="E290" s="145" t="n">
        <x:v>100</x:v>
      </x:c>
      <x:c r="F290" s="145" t="n">
        <x:v>50.2</x:v>
      </x:c>
      <x:c r="G290" s="145" t="n">
        <x:v>0.2809</x:v>
      </x:c>
    </x:row>
    <x:row r="291" ht="18" customHeight="1">
      <x:c r="A291" s="144" t="str">
        <x:v>2025-01</x:v>
      </x:c>
      <x:c r="B291" s="145" t="n">
        <x:v>342</x:v>
      </x:c>
      <x:c r="C291" s="145" t="n">
        <x:v>431.5</x:v>
      </x:c>
      <x:c r="D291" s="145" t="n">
        <x:v>100</x:v>
      </x:c>
      <x:c r="E291" s="145" t="n">
        <x:v>100</x:v>
      </x:c>
      <x:c r="F291" s="145" t="n">
        <x:v>-89.5</x:v>
      </x:c>
      <x:c r="G291" s="145" t="n">
        <x:v>-0.2319</x:v>
      </x:c>
    </x:row>
    <x:row r="292" ht="18" customHeight="1">
      <x:c r="A292" s="144" t="str">
        <x:v>2025-02</x:v>
      </x:c>
      <x:c r="B292" s="145" t="n">
        <x:v>664</x:v>
      </x:c>
      <x:c r="C292" s="145" t="n">
        <x:v>573.8</x:v>
      </x:c>
      <x:c r="D292" s="145" t="n">
        <x:v>100</x:v>
      </x:c>
      <x:c r="E292" s="145" t="n">
        <x:v>100</x:v>
      </x:c>
      <x:c r="F292" s="145" t="n">
        <x:v>90.2</x:v>
      </x:c>
      <x:c r="G292" s="145" t="n">
        <x:v>0.1458</x:v>
      </x:c>
    </x:row>
    <x:row r="293" ht="18" customHeight="1">
      <x:c r="A293" s="144" t="str">
        <x:v>2025-03</x:v>
      </x:c>
      <x:c r="B293" s="145" t="n">
        <x:v>257</x:v>
      </x:c>
      <x:c r="C293" s="145" t="n">
        <x:v>212.5</x:v>
      </x:c>
      <x:c r="D293" s="145" t="n">
        <x:v>100</x:v>
      </x:c>
      <x:c r="E293" s="145" t="n">
        <x:v>100</x:v>
      </x:c>
      <x:c r="F293" s="145" t="n">
        <x:v>44.5</x:v>
      </x:c>
      <x:c r="G293" s="145" t="n">
        <x:v>0.1893</x:v>
      </x:c>
    </x:row>
    <x:row r="294" ht="18" customHeight="1">
      <x:c r="A294" s="144" t="str">
        <x:v>2025-04</x:v>
      </x:c>
      <x:c r="B294" s="145" t="n">
        <x:v>565</x:v>
      </x:c>
      <x:c r="C294" s="145" t="n">
        <x:v>625.8</x:v>
      </x:c>
      <x:c r="D294" s="145" t="n">
        <x:v>100</x:v>
      </x:c>
      <x:c r="E294" s="145" t="n">
        <x:v>100</x:v>
      </x:c>
      <x:c r="F294" s="145" t="n">
        <x:v>-60.8</x:v>
      </x:c>
      <x:c r="G294" s="145" t="n">
        <x:v>-0.102</x:v>
      </x:c>
    </x:row>
    <x:row r="295" ht="18" customHeight="1">
      <x:c r="A295" s="144" t="str">
        <x:v>2025-05</x:v>
      </x:c>
      <x:c r="B295" s="145" t="n">
        <x:v>221</x:v>
      </x:c>
      <x:c r="C295" s="145" t="n">
        <x:v>555.4</x:v>
      </x:c>
      <x:c r="D295" s="145" t="n">
        <x:v>96.8</x:v>
      </x:c>
      <x:c r="E295" s="145" t="n">
        <x:v>100</x:v>
      </x:c>
      <x:c r="F295" s="145" t="n">
        <x:v>-334.4</x:v>
      </x:c>
      <x:c r="G295" s="145" t="n">
        <x:v>-0.9188</x:v>
      </x:c>
    </x:row>
    <x:row r="296" ht="18" customHeight="1">
      <x:c r="A296" s="144" t="str">
        <x:v>2025-06</x:v>
      </x:c>
      <x:c r="B296" s="145" t="n">
        <x:v>343</x:v>
      </x:c>
      <x:c r="C296" s="145" t="n">
        <x:v>260.1</x:v>
      </x:c>
      <x:c r="D296" s="145" t="n">
        <x:v>100</x:v>
      </x:c>
      <x:c r="E296" s="145" t="n">
        <x:v>100</x:v>
      </x:c>
      <x:c r="F296" s="145" t="n">
        <x:v>82.9</x:v>
      </x:c>
      <x:c r="G296" s="145" t="n">
        <x:v>0.2757</x:v>
      </x:c>
    </x:row>
    <x:row r="297" ht="18" customHeight="1">
      <x:c r="A297" s="144" t="str">
        <x:v>2025-07</x:v>
      </x:c>
      <x:c r="B297" s="145" t="n">
        <x:v>250</x:v>
      </x:c>
      <x:c r="C297" s="145" t="n">
        <x:v>130.7</x:v>
      </x:c>
      <x:c r="D297" s="145" t="n">
        <x:v>96.8</x:v>
      </x:c>
      <x:c r="E297" s="145" t="n">
        <x:v>100</x:v>
      </x:c>
      <x:c r="F297" s="145" t="n">
        <x:v>119.3</x:v>
      </x:c>
      <x:c r="G297" s="145" t="n">
        <x:v>0.6449</x:v>
      </x:c>
    </x:row>
  </x:sheetData>
  <x:mergeCells>
    <x:mergeCell ref="A1:I2"/>
    <x:mergeCell ref="A4:I4"/>
  </x:mergeCells>
  <x:pageMargins left="0.7" right="0.7" top="0.75" bottom="0.75" header="0.3" footer="0.3"/>
  <x:drawing xmlns:r="http://schemas.openxmlformats.org/officeDocument/2006/relationships" r:id="R7c0694e9bab843fc"/>
</x:worksheet>
</file>

<file path=xl/worksheets/sheet1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9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4" customHeight="1">
      <x:c r="A1" s="117" t="str">
        <x:v>SERIES MENSUALES COMPARABLES • AEROPUERTO LA FLORIDA</x:v>
      </x:c>
      <x:c r="B1" s="117"/>
      <x:c r="C1" s="117"/>
      <x:c r="D1" s="117"/>
      <x:c r="E1" s="117"/>
      <x:c r="F1" s="117"/>
      <x:c r="G1" s="117"/>
      <x:c r="H1" s="117"/>
      <x:c r="I1" s="117"/>
    </x:row>
    <x:row r="2" ht="24" customHeight="1">
      <x:c r="A2" s="117"/>
      <x:c r="B2" s="117"/>
      <x:c r="C2" s="117"/>
      <x:c r="D2" s="117"/>
      <x:c r="E2" s="117"/>
      <x:c r="F2" s="117"/>
      <x:c r="G2" s="117"/>
      <x:c r="H2" s="117"/>
      <x:c r="I2" s="117"/>
    </x:row>
    <x:row r="3" ht="12" customHeight="1"/>
    <x:row r="4" ht="25" customHeight="1">
      <x:c r="A4" s="135" t="str">
        <x:v>Solo meses en común con cobertura diaria ≥ 90 % en ambas estaciones; precipitaciones en mm/mes.</x:v>
      </x:c>
      <x:c r="B4" s="135"/>
      <x:c r="C4" s="135"/>
      <x:c r="D4" s="135"/>
      <x:c r="E4" s="135"/>
      <x:c r="F4" s="135"/>
      <x:c r="G4" s="135"/>
      <x:c r="H4" s="135"/>
      <x:c r="I4" s="135"/>
    </x:row>
    <x:row r="6" ht="28" customHeight="1">
      <x:c r="A6" s="124" t="str">
        <x:v>Mes</x:v>
      </x:c>
      <x:c r="B6" s="124" t="str">
        <x:v>COCO EL [mm]</x:v>
      </x:c>
      <x:c r="C6" s="124" t="str">
        <x:v>Vecina [mm]</x:v>
      </x:c>
      <x:c r="D6" s="124" t="str">
        <x:v>COCO cobertura %</x:v>
      </x:c>
      <x:c r="E6" s="124" t="str">
        <x:v>Vecina cobertura %</x:v>
      </x:c>
      <x:c r="F6" s="124" t="str">
        <x:v>Diferencia [mm]</x:v>
      </x:c>
      <x:c r="G6" s="124" t="str">
        <x:v>log(P+1) diferencia</x:v>
      </x:c>
    </x:row>
    <x:row r="7" ht="18" customHeight="1">
      <x:c r="A7" s="144" t="str">
        <x:v>1985-02</x:v>
      </x:c>
      <x:c r="B7" s="145" t="n">
        <x:v>108.5</x:v>
      </x:c>
      <x:c r="C7" s="145" t="n">
        <x:v>129.4</x:v>
      </x:c>
      <x:c r="D7" s="145" t="n">
        <x:v>100</x:v>
      </x:c>
      <x:c r="E7" s="145" t="n">
        <x:v>100</x:v>
      </x:c>
      <x:c r="F7" s="145" t="n">
        <x:v>-20.9</x:v>
      </x:c>
      <x:c r="G7" s="145" t="n">
        <x:v>-0.1747</x:v>
      </x:c>
    </x:row>
    <x:row r="8" ht="18" customHeight="1">
      <x:c r="A8" s="144" t="str">
        <x:v>1985-03</x:v>
      </x:c>
      <x:c r="B8" s="145" t="n">
        <x:v>48</x:v>
      </x:c>
      <x:c r="C8" s="145" t="n">
        <x:v>60.8</x:v>
      </x:c>
      <x:c r="D8" s="145" t="n">
        <x:v>100</x:v>
      </x:c>
      <x:c r="E8" s="145" t="n">
        <x:v>100</x:v>
      </x:c>
      <x:c r="F8" s="145" t="n">
        <x:v>-12.8</x:v>
      </x:c>
      <x:c r="G8" s="145" t="n">
        <x:v>-0.2321</x:v>
      </x:c>
    </x:row>
    <x:row r="9" ht="18" customHeight="1">
      <x:c r="A9" s="144" t="str">
        <x:v>1985-05</x:v>
      </x:c>
      <x:c r="B9" s="145" t="n">
        <x:v>393.7</x:v>
      </x:c>
      <x:c r="C9" s="145" t="n">
        <x:v>221.6</x:v>
      </x:c>
      <x:c r="D9" s="145" t="n">
        <x:v>100</x:v>
      </x:c>
      <x:c r="E9" s="145" t="n">
        <x:v>100</x:v>
      </x:c>
      <x:c r="F9" s="145" t="n">
        <x:v>172.1</x:v>
      </x:c>
      <x:c r="G9" s="145" t="n">
        <x:v>0.5727</x:v>
      </x:c>
    </x:row>
    <x:row r="10" ht="18" customHeight="1">
      <x:c r="A10" s="144" t="str">
        <x:v>1985-06</x:v>
      </x:c>
      <x:c r="B10" s="145" t="n">
        <x:v>366.4</x:v>
      </x:c>
      <x:c r="C10" s="145" t="n">
        <x:v>208.7</x:v>
      </x:c>
      <x:c r="D10" s="145" t="n">
        <x:v>100</x:v>
      </x:c>
      <x:c r="E10" s="145" t="n">
        <x:v>100</x:v>
      </x:c>
      <x:c r="F10" s="145" t="n">
        <x:v>157.7</x:v>
      </x:c>
      <x:c r="G10" s="145" t="n">
        <x:v>0.5608</x:v>
      </x:c>
    </x:row>
    <x:row r="11" ht="18" customHeight="1">
      <x:c r="A11" s="144" t="str">
        <x:v>1985-07</x:v>
      </x:c>
      <x:c r="B11" s="145" t="n">
        <x:v>59.7</x:v>
      </x:c>
      <x:c r="C11" s="145" t="n">
        <x:v>17.3</x:v>
      </x:c>
      <x:c r="D11" s="145" t="n">
        <x:v>100</x:v>
      </x:c>
      <x:c r="E11" s="145" t="n">
        <x:v>100</x:v>
      </x:c>
      <x:c r="F11" s="145" t="n">
        <x:v>42.4</x:v>
      </x:c>
      <x:c r="G11" s="145" t="n">
        <x:v>1.199</x:v>
      </x:c>
    </x:row>
    <x:row r="12" ht="18" customHeight="1">
      <x:c r="A12" s="144" t="str">
        <x:v>1985-08</x:v>
      </x:c>
      <x:c r="B12" s="145" t="n">
        <x:v>27.1</x:v>
      </x:c>
      <x:c r="C12" s="145" t="n">
        <x:v>57</x:v>
      </x:c>
      <x:c r="D12" s="145" t="n">
        <x:v>100</x:v>
      </x:c>
      <x:c r="E12" s="145" t="n">
        <x:v>100</x:v>
      </x:c>
      <x:c r="F12" s="145" t="n">
        <x:v>-29.9</x:v>
      </x:c>
      <x:c r="G12" s="145" t="n">
        <x:v>-0.7247</x:v>
      </x:c>
    </x:row>
    <x:row r="13" ht="18" customHeight="1">
      <x:c r="A13" s="144" t="str">
        <x:v>1985-09</x:v>
      </x:c>
      <x:c r="B13" s="145" t="n">
        <x:v>21</x:v>
      </x:c>
      <x:c r="C13" s="145" t="n">
        <x:v>55.8</x:v>
      </x:c>
      <x:c r="D13" s="145" t="n">
        <x:v>100</x:v>
      </x:c>
      <x:c r="E13" s="145" t="n">
        <x:v>100</x:v>
      </x:c>
      <x:c r="F13" s="145" t="n">
        <x:v>-34.8</x:v>
      </x:c>
      <x:c r="G13" s="145" t="n">
        <x:v>-0.9485</x:v>
      </x:c>
    </x:row>
    <x:row r="14" ht="18" customHeight="1">
      <x:c r="A14" s="144" t="str">
        <x:v>1985-10</x:v>
      </x:c>
      <x:c r="B14" s="145" t="n">
        <x:v>10.4</x:v>
      </x:c>
      <x:c r="C14" s="145" t="n">
        <x:v>32.8</x:v>
      </x:c>
      <x:c r="D14" s="145" t="n">
        <x:v>100</x:v>
      </x:c>
      <x:c r="E14" s="145" t="n">
        <x:v>100</x:v>
      </x:c>
      <x:c r="F14" s="145" t="n">
        <x:v>-22.4</x:v>
      </x:c>
      <x:c r="G14" s="145" t="n">
        <x:v>-1.0868</x:v>
      </x:c>
    </x:row>
    <x:row r="15" ht="18" customHeight="1">
      <x:c r="A15" s="144" t="str">
        <x:v>1985-11</x:v>
      </x:c>
      <x:c r="B15" s="145" t="n">
        <x:v>37.3</x:v>
      </x:c>
      <x:c r="C15" s="145" t="n">
        <x:v>49.6</x:v>
      </x:c>
      <x:c r="D15" s="145" t="n">
        <x:v>100</x:v>
      </x:c>
      <x:c r="E15" s="145" t="n">
        <x:v>100</x:v>
      </x:c>
      <x:c r="F15" s="145" t="n">
        <x:v>-12.3</x:v>
      </x:c>
      <x:c r="G15" s="145" t="n">
        <x:v>-0.2785</x:v>
      </x:c>
    </x:row>
    <x:row r="16" ht="18" customHeight="1">
      <x:c r="A16" s="144" t="str">
        <x:v>1985-12</x:v>
      </x:c>
      <x:c r="B16" s="145" t="n">
        <x:v>96</x:v>
      </x:c>
      <x:c r="C16" s="145" t="n">
        <x:v>246</x:v>
      </x:c>
      <x:c r="D16" s="145" t="n">
        <x:v>100</x:v>
      </x:c>
      <x:c r="E16" s="145" t="n">
        <x:v>100</x:v>
      </x:c>
      <x:c r="F16" s="145" t="n">
        <x:v>-150</x:v>
      </x:c>
      <x:c r="G16" s="145" t="n">
        <x:v>-0.9347</x:v>
      </x:c>
    </x:row>
    <x:row r="17" ht="18" customHeight="1">
      <x:c r="A17" s="144" t="str">
        <x:v>1986-01</x:v>
      </x:c>
      <x:c r="B17" s="145" t="n">
        <x:v>124.2</x:v>
      </x:c>
      <x:c r="C17" s="145" t="n">
        <x:v>693.1</x:v>
      </x:c>
      <x:c r="D17" s="145" t="n">
        <x:v>100</x:v>
      </x:c>
      <x:c r="E17" s="145" t="n">
        <x:v>100</x:v>
      </x:c>
      <x:c r="F17" s="145" t="n">
        <x:v>-568.9</x:v>
      </x:c>
      <x:c r="G17" s="145" t="n">
        <x:v>-1.7127</x:v>
      </x:c>
    </x:row>
    <x:row r="18" ht="18" customHeight="1">
      <x:c r="A18" s="144" t="str">
        <x:v>1986-02</x:v>
      </x:c>
      <x:c r="B18" s="145" t="n">
        <x:v>115</x:v>
      </x:c>
      <x:c r="C18" s="145" t="n">
        <x:v>118.7</x:v>
      </x:c>
      <x:c r="D18" s="145" t="n">
        <x:v>96.4</x:v>
      </x:c>
      <x:c r="E18" s="145" t="n">
        <x:v>100</x:v>
      </x:c>
      <x:c r="F18" s="145" t="n">
        <x:v>-3.7</x:v>
      </x:c>
      <x:c r="G18" s="145" t="n">
        <x:v>-0.0314</x:v>
      </x:c>
    </x:row>
    <x:row r="19" ht="18" customHeight="1">
      <x:c r="A19" s="144" t="str">
        <x:v>1986-03</x:v>
      </x:c>
      <x:c r="B19" s="145" t="n">
        <x:v>148.7</x:v>
      </x:c>
      <x:c r="C19" s="145" t="n">
        <x:v>395.4</x:v>
      </x:c>
      <x:c r="D19" s="145" t="n">
        <x:v>96.8</x:v>
      </x:c>
      <x:c r="E19" s="145" t="n">
        <x:v>100</x:v>
      </x:c>
      <x:c r="F19" s="145" t="n">
        <x:v>-246.7</x:v>
      </x:c>
      <x:c r="G19" s="145" t="n">
        <x:v>-0.9738</x:v>
      </x:c>
    </x:row>
    <x:row r="20" ht="18" customHeight="1">
      <x:c r="A20" s="144" t="str">
        <x:v>1986-04</x:v>
      </x:c>
      <x:c r="B20" s="145" t="n">
        <x:v>174.8</x:v>
      </x:c>
      <x:c r="C20" s="145" t="n">
        <x:v>116.8</x:v>
      </x:c>
      <x:c r="D20" s="145" t="n">
        <x:v>100</x:v>
      </x:c>
      <x:c r="E20" s="145" t="n">
        <x:v>100</x:v>
      </x:c>
      <x:c r="F20" s="145" t="n">
        <x:v>58</x:v>
      </x:c>
      <x:c r="G20" s="145" t="n">
        <x:v>0.4004</x:v>
      </x:c>
    </x:row>
    <x:row r="21" ht="18" customHeight="1">
      <x:c r="A21" s="144" t="str">
        <x:v>1986-05</x:v>
      </x:c>
      <x:c r="B21" s="145" t="n">
        <x:v>116.8</x:v>
      </x:c>
      <x:c r="C21" s="145" t="n">
        <x:v>138.7</x:v>
      </x:c>
      <x:c r="D21" s="145" t="n">
        <x:v>100</x:v>
      </x:c>
      <x:c r="E21" s="145" t="n">
        <x:v>100</x:v>
      </x:c>
      <x:c r="F21" s="145" t="n">
        <x:v>-21.9</x:v>
      </x:c>
      <x:c r="G21" s="145" t="n">
        <x:v>-0.1705</x:v>
      </x:c>
    </x:row>
    <x:row r="22" ht="18" customHeight="1">
      <x:c r="A22" s="144" t="str">
        <x:v>1986-06</x:v>
      </x:c>
      <x:c r="B22" s="145" t="n">
        <x:v>27.9</x:v>
      </x:c>
      <x:c r="C22" s="145" t="n">
        <x:v>60.6</x:v>
      </x:c>
      <x:c r="D22" s="145" t="n">
        <x:v>100</x:v>
      </x:c>
      <x:c r="E22" s="145" t="n">
        <x:v>100</x:v>
      </x:c>
      <x:c r="F22" s="145" t="n">
        <x:v>-32.7</x:v>
      </x:c>
      <x:c r="G22" s="145" t="n">
        <x:v>-0.7568</x:v>
      </x:c>
    </x:row>
    <x:row r="23" ht="18" customHeight="1">
      <x:c r="A23" s="144" t="str">
        <x:v>1986-07</x:v>
      </x:c>
      <x:c r="B23" s="145" t="n">
        <x:v>40.7</x:v>
      </x:c>
      <x:c r="C23" s="145" t="n">
        <x:v>52.6</x:v>
      </x:c>
      <x:c r="D23" s="145" t="n">
        <x:v>100</x:v>
      </x:c>
      <x:c r="E23" s="145" t="n">
        <x:v>100</x:v>
      </x:c>
      <x:c r="F23" s="145" t="n">
        <x:v>-11.9</x:v>
      </x:c>
      <x:c r="G23" s="145" t="n">
        <x:v>-0.251</x:v>
      </x:c>
    </x:row>
    <x:row r="24" ht="18" customHeight="1">
      <x:c r="A24" s="144" t="str">
        <x:v>1986-09</x:v>
      </x:c>
      <x:c r="B24" s="145" t="n">
        <x:v>90.9</x:v>
      </x:c>
      <x:c r="C24" s="145" t="n">
        <x:v>103.9</x:v>
      </x:c>
      <x:c r="D24" s="145" t="n">
        <x:v>100</x:v>
      </x:c>
      <x:c r="E24" s="145" t="n">
        <x:v>100</x:v>
      </x:c>
      <x:c r="F24" s="145" t="n">
        <x:v>-13</x:v>
      </x:c>
      <x:c r="G24" s="145" t="n">
        <x:v>-0.1323</x:v>
      </x:c>
    </x:row>
    <x:row r="25" ht="18" customHeight="1">
      <x:c r="A25" s="144" t="str">
        <x:v>1986-10</x:v>
      </x:c>
      <x:c r="B25" s="145" t="n">
        <x:v>108.4</x:v>
      </x:c>
      <x:c r="C25" s="145" t="n">
        <x:v>189.7</x:v>
      </x:c>
      <x:c r="D25" s="145" t="n">
        <x:v>100</x:v>
      </x:c>
      <x:c r="E25" s="145" t="n">
        <x:v>100</x:v>
      </x:c>
      <x:c r="F25" s="145" t="n">
        <x:v>-81.3</x:v>
      </x:c>
      <x:c r="G25" s="145" t="n">
        <x:v>-0.5557</x:v>
      </x:c>
    </x:row>
    <x:row r="26" ht="18" customHeight="1">
      <x:c r="A26" s="144" t="str">
        <x:v>1986-11</x:v>
      </x:c>
      <x:c r="B26" s="145" t="n">
        <x:v>66.5</x:v>
      </x:c>
      <x:c r="C26" s="145" t="n">
        <x:v>137.3</x:v>
      </x:c>
      <x:c r="D26" s="145" t="n">
        <x:v>100</x:v>
      </x:c>
      <x:c r="E26" s="145" t="n">
        <x:v>100</x:v>
      </x:c>
      <x:c r="F26" s="145" t="n">
        <x:v>-70.8</x:v>
      </x:c>
      <x:c r="G26" s="145" t="n">
        <x:v>-0.7173</x:v>
      </x:c>
    </x:row>
    <x:row r="27" ht="18" customHeight="1">
      <x:c r="A27" s="144" t="str">
        <x:v>1986-12</x:v>
      </x:c>
      <x:c r="B27" s="145" t="n">
        <x:v>63</x:v>
      </x:c>
      <x:c r="C27" s="145" t="n">
        <x:v>186.6</x:v>
      </x:c>
      <x:c r="D27" s="145" t="n">
        <x:v>100</x:v>
      </x:c>
      <x:c r="E27" s="145" t="n">
        <x:v>100</x:v>
      </x:c>
      <x:c r="F27" s="145" t="n">
        <x:v>-123.6</x:v>
      </x:c>
      <x:c r="G27" s="145" t="n">
        <x:v>-1.0754</x:v>
      </x:c>
    </x:row>
    <x:row r="28" ht="18" customHeight="1">
      <x:c r="A28" s="144" t="str">
        <x:v>1987-01</x:v>
      </x:c>
      <x:c r="B28" s="145" t="n">
        <x:v>319.9</x:v>
      </x:c>
      <x:c r="C28" s="145" t="n">
        <x:v>287.6</x:v>
      </x:c>
      <x:c r="D28" s="145" t="n">
        <x:v>100</x:v>
      </x:c>
      <x:c r="E28" s="145" t="n">
        <x:v>100</x:v>
      </x:c>
      <x:c r="F28" s="145" t="n">
        <x:v>32.3</x:v>
      </x:c>
      <x:c r="G28" s="145" t="n">
        <x:v>0.1061</x:v>
      </x:c>
    </x:row>
    <x:row r="29" ht="18" customHeight="1">
      <x:c r="A29" s="144" t="str">
        <x:v>1987-02</x:v>
      </x:c>
      <x:c r="B29" s="145" t="n">
        <x:v>58.4</x:v>
      </x:c>
      <x:c r="C29" s="145" t="n">
        <x:v>154</x:v>
      </x:c>
      <x:c r="D29" s="145" t="n">
        <x:v>100</x:v>
      </x:c>
      <x:c r="E29" s="145" t="n">
        <x:v>100</x:v>
      </x:c>
      <x:c r="F29" s="145" t="n">
        <x:v>-95.6</x:v>
      </x:c>
      <x:c r="G29" s="145" t="n">
        <x:v>-0.9591</x:v>
      </x:c>
    </x:row>
    <x:row r="30" ht="18" customHeight="1">
      <x:c r="A30" s="144" t="str">
        <x:v>1987-04</x:v>
      </x:c>
      <x:c r="B30" s="145" t="n">
        <x:v>375.6</x:v>
      </x:c>
      <x:c r="C30" s="145" t="n">
        <x:v>450.7</x:v>
      </x:c>
      <x:c r="D30" s="145" t="n">
        <x:v>96.7</x:v>
      </x:c>
      <x:c r="E30" s="145" t="n">
        <x:v>100</x:v>
      </x:c>
      <x:c r="F30" s="145" t="n">
        <x:v>-75.1</x:v>
      </x:c>
      <x:c r="G30" s="145" t="n">
        <x:v>-0.1818</x:v>
      </x:c>
    </x:row>
    <x:row r="31" ht="18" customHeight="1">
      <x:c r="A31" s="144" t="str">
        <x:v>1987-05</x:v>
      </x:c>
      <x:c r="B31" s="145" t="n">
        <x:v>363.2</x:v>
      </x:c>
      <x:c r="C31" s="145" t="n">
        <x:v>454.5</x:v>
      </x:c>
      <x:c r="D31" s="145" t="n">
        <x:v>100</x:v>
      </x:c>
      <x:c r="E31" s="145" t="n">
        <x:v>100</x:v>
      </x:c>
      <x:c r="F31" s="145" t="n">
        <x:v>-91.3</x:v>
      </x:c>
      <x:c r="G31" s="145" t="n">
        <x:v>-0.2237</x:v>
      </x:c>
    </x:row>
    <x:row r="32" ht="18" customHeight="1">
      <x:c r="A32" s="144" t="str">
        <x:v>1987-06</x:v>
      </x:c>
      <x:c r="B32" s="145" t="n">
        <x:v>50.1</x:v>
      </x:c>
      <x:c r="C32" s="145" t="n">
        <x:v>38.3</x:v>
      </x:c>
      <x:c r="D32" s="145" t="n">
        <x:v>100</x:v>
      </x:c>
      <x:c r="E32" s="145" t="n">
        <x:v>100</x:v>
      </x:c>
      <x:c r="F32" s="145" t="n">
        <x:v>11.8</x:v>
      </x:c>
      <x:c r="G32" s="145" t="n">
        <x:v>0.2626</x:v>
      </x:c>
    </x:row>
    <x:row r="33" ht="18" customHeight="1">
      <x:c r="A33" s="144" t="str">
        <x:v>1987-07</x:v>
      </x:c>
      <x:c r="B33" s="145" t="n">
        <x:v>132.9</x:v>
      </x:c>
      <x:c r="C33" s="145" t="n">
        <x:v>173.1</x:v>
      </x:c>
      <x:c r="D33" s="145" t="n">
        <x:v>100</x:v>
      </x:c>
      <x:c r="E33" s="145" t="n">
        <x:v>100</x:v>
      </x:c>
      <x:c r="F33" s="145" t="n">
        <x:v>-40.2</x:v>
      </x:c>
      <x:c r="G33" s="145" t="n">
        <x:v>-0.2625</x:v>
      </x:c>
    </x:row>
    <x:row r="34" ht="18" customHeight="1">
      <x:c r="A34" s="144" t="str">
        <x:v>1987-08</x:v>
      </x:c>
      <x:c r="B34" s="145" t="n">
        <x:v>307.7</x:v>
      </x:c>
      <x:c r="C34" s="145" t="n">
        <x:v>349.5</x:v>
      </x:c>
      <x:c r="D34" s="145" t="n">
        <x:v>100</x:v>
      </x:c>
      <x:c r="E34" s="145" t="n">
        <x:v>100</x:v>
      </x:c>
      <x:c r="F34" s="145" t="n">
        <x:v>-41.8</x:v>
      </x:c>
      <x:c r="G34" s="145" t="n">
        <x:v>-0.127</x:v>
      </x:c>
    </x:row>
    <x:row r="35" ht="18" customHeight="1">
      <x:c r="A35" s="144" t="str">
        <x:v>1987-09</x:v>
      </x:c>
      <x:c r="B35" s="145" t="n">
        <x:v>85.1</x:v>
      </x:c>
      <x:c r="C35" s="145" t="n">
        <x:v>100.4</x:v>
      </x:c>
      <x:c r="D35" s="145" t="n">
        <x:v>100</x:v>
      </x:c>
      <x:c r="E35" s="145" t="n">
        <x:v>100</x:v>
      </x:c>
      <x:c r="F35" s="145" t="n">
        <x:v>-15.3</x:v>
      </x:c>
      <x:c r="G35" s="145" t="n">
        <x:v>-0.1636</x:v>
      </x:c>
    </x:row>
    <x:row r="36" ht="18" customHeight="1">
      <x:c r="A36" s="144" t="str">
        <x:v>1987-10</x:v>
      </x:c>
      <x:c r="B36" s="145" t="n">
        <x:v>123</x:v>
      </x:c>
      <x:c r="C36" s="145" t="n">
        <x:v>111.2</x:v>
      </x:c>
      <x:c r="D36" s="145" t="n">
        <x:v>100</x:v>
      </x:c>
      <x:c r="E36" s="145" t="n">
        <x:v>100</x:v>
      </x:c>
      <x:c r="F36" s="145" t="n">
        <x:v>11.8</x:v>
      </x:c>
      <x:c r="G36" s="145" t="n">
        <x:v>0.1</x:v>
      </x:c>
    </x:row>
    <x:row r="37" ht="18" customHeight="1">
      <x:c r="A37" s="144" t="str">
        <x:v>1987-11</x:v>
      </x:c>
      <x:c r="B37" s="145" t="n">
        <x:v>32.9</x:v>
      </x:c>
      <x:c r="C37" s="145" t="n">
        <x:v>55.8</x:v>
      </x:c>
      <x:c r="D37" s="145" t="n">
        <x:v>100</x:v>
      </x:c>
      <x:c r="E37" s="145" t="n">
        <x:v>100</x:v>
      </x:c>
      <x:c r="F37" s="145" t="n">
        <x:v>-22.9</x:v>
      </x:c>
      <x:c r="G37" s="145" t="n">
        <x:v>-0.5161</x:v>
      </x:c>
    </x:row>
    <x:row r="38" ht="18" customHeight="1">
      <x:c r="A38" s="144" t="str">
        <x:v>1987-12</x:v>
      </x:c>
      <x:c r="B38" s="145" t="n">
        <x:v>47.2</x:v>
      </x:c>
      <x:c r="C38" s="145" t="n">
        <x:v>154.2</x:v>
      </x:c>
      <x:c r="D38" s="145" t="n">
        <x:v>100</x:v>
      </x:c>
      <x:c r="E38" s="145" t="n">
        <x:v>100</x:v>
      </x:c>
      <x:c r="F38" s="145" t="n">
        <x:v>-107</x:v>
      </x:c>
      <x:c r="G38" s="145" t="n">
        <x:v>-1.1694</x:v>
      </x:c>
    </x:row>
    <x:row r="39" ht="18" customHeight="1">
      <x:c r="A39" s="144" t="str">
        <x:v>1988-01</x:v>
      </x:c>
      <x:c r="B39" s="145" t="n">
        <x:v>32.4</x:v>
      </x:c>
      <x:c r="C39" s="145" t="n">
        <x:v>477.3</x:v>
      </x:c>
      <x:c r="D39" s="145" t="n">
        <x:v>100</x:v>
      </x:c>
      <x:c r="E39" s="145" t="n">
        <x:v>100</x:v>
      </x:c>
      <x:c r="F39" s="145" t="n">
        <x:v>-444.9</x:v>
      </x:c>
      <x:c r="G39" s="145" t="n">
        <x:v>-2.6617</x:v>
      </x:c>
    </x:row>
    <x:row r="40" ht="18" customHeight="1">
      <x:c r="A40" s="144" t="str">
        <x:v>1988-02</x:v>
      </x:c>
      <x:c r="B40" s="145" t="n">
        <x:v>127.7</x:v>
      </x:c>
      <x:c r="C40" s="145" t="n">
        <x:v>493</x:v>
      </x:c>
      <x:c r="D40" s="145" t="n">
        <x:v>100</x:v>
      </x:c>
      <x:c r="E40" s="145" t="n">
        <x:v>100</x:v>
      </x:c>
      <x:c r="F40" s="145" t="n">
        <x:v>-365.3</x:v>
      </x:c>
      <x:c r="G40" s="145" t="n">
        <x:v>-1.3451</x:v>
      </x:c>
    </x:row>
    <x:row r="41" ht="18" customHeight="1">
      <x:c r="A41" s="144" t="str">
        <x:v>1988-03</x:v>
      </x:c>
      <x:c r="B41" s="145" t="n">
        <x:v>50.2</x:v>
      </x:c>
      <x:c r="C41" s="145" t="n">
        <x:v>7.3</x:v>
      </x:c>
      <x:c r="D41" s="145" t="n">
        <x:v>100</x:v>
      </x:c>
      <x:c r="E41" s="145" t="n">
        <x:v>100</x:v>
      </x:c>
      <x:c r="F41" s="145" t="n">
        <x:v>42.9</x:v>
      </x:c>
      <x:c r="G41" s="145" t="n">
        <x:v>1.8195</x:v>
      </x:c>
    </x:row>
    <x:row r="42" ht="18" customHeight="1">
      <x:c r="A42" s="144" t="str">
        <x:v>1988-04</x:v>
      </x:c>
      <x:c r="B42" s="145" t="n">
        <x:v>394.5</x:v>
      </x:c>
      <x:c r="C42" s="145" t="n">
        <x:v>521.7</x:v>
      </x:c>
      <x:c r="D42" s="145" t="n">
        <x:v>100</x:v>
      </x:c>
      <x:c r="E42" s="145" t="n">
        <x:v>100</x:v>
      </x:c>
      <x:c r="F42" s="145" t="n">
        <x:v>-127.2</x:v>
      </x:c>
      <x:c r="G42" s="145" t="n">
        <x:v>-0.2789</x:v>
      </x:c>
    </x:row>
    <x:row r="43" ht="18" customHeight="1">
      <x:c r="A43" s="144" t="str">
        <x:v>1988-05</x:v>
      </x:c>
      <x:c r="B43" s="145" t="n">
        <x:v>363.1</x:v>
      </x:c>
      <x:c r="C43" s="145" t="n">
        <x:v>398.5</x:v>
      </x:c>
      <x:c r="D43" s="145" t="n">
        <x:v>100</x:v>
      </x:c>
      <x:c r="E43" s="145" t="n">
        <x:v>100</x:v>
      </x:c>
      <x:c r="F43" s="145" t="n">
        <x:v>-35.4</x:v>
      </x:c>
      <x:c r="G43" s="145" t="n">
        <x:v>-0.0928</x:v>
      </x:c>
    </x:row>
    <x:row r="44" ht="18" customHeight="1">
      <x:c r="A44" s="144" t="str">
        <x:v>1988-07</x:v>
      </x:c>
      <x:c r="B44" s="145" t="n">
        <x:v>76.1</x:v>
      </x:c>
      <x:c r="C44" s="145" t="n">
        <x:v>128</x:v>
      </x:c>
      <x:c r="D44" s="145" t="n">
        <x:v>100</x:v>
      </x:c>
      <x:c r="E44" s="145" t="n">
        <x:v>100</x:v>
      </x:c>
      <x:c r="F44" s="145" t="n">
        <x:v>-51.9</x:v>
      </x:c>
      <x:c r="G44" s="145" t="n">
        <x:v>-0.5147</x:v>
      </x:c>
    </x:row>
    <x:row r="45" ht="18" customHeight="1">
      <x:c r="A45" s="144" t="str">
        <x:v>1988-08</x:v>
      </x:c>
      <x:c r="B45" s="145" t="n">
        <x:v>57</x:v>
      </x:c>
      <x:c r="C45" s="145" t="n">
        <x:v>29.6</x:v>
      </x:c>
      <x:c r="D45" s="145" t="n">
        <x:v>96.8</x:v>
      </x:c>
      <x:c r="E45" s="145" t="n">
        <x:v>100</x:v>
      </x:c>
      <x:c r="F45" s="145" t="n">
        <x:v>27.4</x:v>
      </x:c>
      <x:c r="G45" s="145" t="n">
        <x:v>0.6394</x:v>
      </x:c>
    </x:row>
    <x:row r="46" ht="18" customHeight="1">
      <x:c r="A46" s="144" t="str">
        <x:v>1988-09</x:v>
      </x:c>
      <x:c r="B46" s="145" t="n">
        <x:v>28</x:v>
      </x:c>
      <x:c r="C46" s="145" t="n">
        <x:v>44.5</x:v>
      </x:c>
      <x:c r="D46" s="145" t="n">
        <x:v>100</x:v>
      </x:c>
      <x:c r="E46" s="145" t="n">
        <x:v>100</x:v>
      </x:c>
      <x:c r="F46" s="145" t="n">
        <x:v>-16.5</x:v>
      </x:c>
      <x:c r="G46" s="145" t="n">
        <x:v>-0.4504</x:v>
      </x:c>
    </x:row>
    <x:row r="47" ht="18" customHeight="1">
      <x:c r="A47" s="144" t="str">
        <x:v>1988-10</x:v>
      </x:c>
      <x:c r="B47" s="145" t="n">
        <x:v>34.5</x:v>
      </x:c>
      <x:c r="C47" s="145" t="n">
        <x:v>49.6</x:v>
      </x:c>
      <x:c r="D47" s="145" t="n">
        <x:v>100</x:v>
      </x:c>
      <x:c r="E47" s="145" t="n">
        <x:v>100</x:v>
      </x:c>
      <x:c r="F47" s="145" t="n">
        <x:v>-15.1</x:v>
      </x:c>
      <x:c r="G47" s="145" t="n">
        <x:v>-0.3544</x:v>
      </x:c>
    </x:row>
    <x:row r="48" ht="18" customHeight="1">
      <x:c r="A48" s="144" t="str">
        <x:v>1988-11</x:v>
      </x:c>
      <x:c r="B48" s="145" t="n">
        <x:v>43.3</x:v>
      </x:c>
      <x:c r="C48" s="145" t="n">
        <x:v>43.1</x:v>
      </x:c>
      <x:c r="D48" s="145" t="n">
        <x:v>100</x:v>
      </x:c>
      <x:c r="E48" s="145" t="n">
        <x:v>100</x:v>
      </x:c>
      <x:c r="F48" s="145" t="n">
        <x:v>0.2</x:v>
      </x:c>
      <x:c r="G48" s="145" t="n">
        <x:v>0.0045</x:v>
      </x:c>
    </x:row>
    <x:row r="49" ht="18" customHeight="1">
      <x:c r="A49" s="144" t="str">
        <x:v>1988-12</x:v>
      </x:c>
      <x:c r="B49" s="145" t="n">
        <x:v>53.9</x:v>
      </x:c>
      <x:c r="C49" s="145" t="n">
        <x:v>144.5</x:v>
      </x:c>
      <x:c r="D49" s="145" t="n">
        <x:v>100</x:v>
      </x:c>
      <x:c r="E49" s="145" t="n">
        <x:v>100</x:v>
      </x:c>
      <x:c r="F49" s="145" t="n">
        <x:v>-90.6</x:v>
      </x:c>
      <x:c r="G49" s="145" t="n">
        <x:v>-0.9747</x:v>
      </x:c>
    </x:row>
    <x:row r="50" ht="18" customHeight="1">
      <x:c r="A50" s="144" t="str">
        <x:v>1989-01</x:v>
      </x:c>
      <x:c r="B50" s="145" t="n">
        <x:v>97.6</x:v>
      </x:c>
      <x:c r="C50" s="145" t="n">
        <x:v>287.6</x:v>
      </x:c>
      <x:c r="D50" s="145" t="n">
        <x:v>100</x:v>
      </x:c>
      <x:c r="E50" s="145" t="n">
        <x:v>100</x:v>
      </x:c>
      <x:c r="F50" s="145" t="n">
        <x:v>-190</x:v>
      </x:c>
      <x:c r="G50" s="145" t="n">
        <x:v>-1.074</x:v>
      </x:c>
    </x:row>
    <x:row r="51" ht="18" customHeight="1">
      <x:c r="A51" s="144" t="str">
        <x:v>1989-02</x:v>
      </x:c>
      <x:c r="B51" s="145" t="n">
        <x:v>133.5</x:v>
      </x:c>
      <x:c r="C51" s="145" t="n">
        <x:v>154</x:v>
      </x:c>
      <x:c r="D51" s="145" t="n">
        <x:v>100</x:v>
      </x:c>
      <x:c r="E51" s="145" t="n">
        <x:v>100</x:v>
      </x:c>
      <x:c r="F51" s="145" t="n">
        <x:v>-20.5</x:v>
      </x:c>
      <x:c r="G51" s="145" t="n">
        <x:v>-0.1419</x:v>
      </x:c>
    </x:row>
    <x:row r="52" ht="18" customHeight="1">
      <x:c r="A52" s="144" t="str">
        <x:v>1989-03</x:v>
      </x:c>
      <x:c r="B52" s="145" t="n">
        <x:v>1.1</x:v>
      </x:c>
      <x:c r="C52" s="145" t="n">
        <x:v>272.9</x:v>
      </x:c>
      <x:c r="D52" s="145" t="n">
        <x:v>100</x:v>
      </x:c>
      <x:c r="E52" s="145" t="n">
        <x:v>100</x:v>
      </x:c>
      <x:c r="F52" s="145" t="n">
        <x:v>-271.8</x:v>
      </x:c>
      <x:c r="G52" s="145" t="n">
        <x:v>-4.8708</x:v>
      </x:c>
    </x:row>
    <x:row r="53" ht="18" customHeight="1">
      <x:c r="A53" s="144" t="str">
        <x:v>1989-04</x:v>
      </x:c>
      <x:c r="B53" s="145" t="n">
        <x:v>177.4</x:v>
      </x:c>
      <x:c r="C53" s="145" t="n">
        <x:v>291.3</x:v>
      </x:c>
      <x:c r="D53" s="145" t="n">
        <x:v>93.3</x:v>
      </x:c>
      <x:c r="E53" s="145" t="n">
        <x:v>100</x:v>
      </x:c>
      <x:c r="F53" s="145" t="n">
        <x:v>-113.9</x:v>
      </x:c>
      <x:c r="G53" s="145" t="n">
        <x:v>-0.4938</x:v>
      </x:c>
    </x:row>
    <x:row r="54" ht="18" customHeight="1">
      <x:c r="A54" s="144" t="str">
        <x:v>1989-05</x:v>
      </x:c>
      <x:c r="B54" s="145" t="n">
        <x:v>290.3</x:v>
      </x:c>
      <x:c r="C54" s="145" t="n">
        <x:v>334.5</x:v>
      </x:c>
      <x:c r="D54" s="145" t="n">
        <x:v>100</x:v>
      </x:c>
      <x:c r="E54" s="145" t="n">
        <x:v>100</x:v>
      </x:c>
      <x:c r="F54" s="145" t="n">
        <x:v>-44.2</x:v>
      </x:c>
      <x:c r="G54" s="145" t="n">
        <x:v>-0.1413</x:v>
      </x:c>
    </x:row>
    <x:row r="55" ht="18" customHeight="1">
      <x:c r="A55" s="144" t="str">
        <x:v>1989-06</x:v>
      </x:c>
      <x:c r="B55" s="145" t="n">
        <x:v>111.9</x:v>
      </x:c>
      <x:c r="C55" s="145" t="n">
        <x:v>227.5</x:v>
      </x:c>
      <x:c r="D55" s="145" t="n">
        <x:v>100</x:v>
      </x:c>
      <x:c r="E55" s="145" t="n">
        <x:v>100</x:v>
      </x:c>
      <x:c r="F55" s="145" t="n">
        <x:v>-115.6</x:v>
      </x:c>
      <x:c r="G55" s="145" t="n">
        <x:v>-0.705</x:v>
      </x:c>
    </x:row>
    <x:row r="56" ht="18" customHeight="1">
      <x:c r="A56" s="144" t="str">
        <x:v>1989-07</x:v>
      </x:c>
      <x:c r="B56" s="145" t="n">
        <x:v>52.8</x:v>
      </x:c>
      <x:c r="C56" s="145" t="n">
        <x:v>58</x:v>
      </x:c>
      <x:c r="D56" s="145" t="n">
        <x:v>100</x:v>
      </x:c>
      <x:c r="E56" s="145" t="n">
        <x:v>100</x:v>
      </x:c>
      <x:c r="F56" s="145" t="n">
        <x:v>-5.2</x:v>
      </x:c>
      <x:c r="G56" s="145" t="n">
        <x:v>-0.0923</x:v>
      </x:c>
    </x:row>
    <x:row r="57" ht="18" customHeight="1">
      <x:c r="A57" s="144" t="str">
        <x:v>1989-08</x:v>
      </x:c>
      <x:c r="B57" s="145" t="n">
        <x:v>55.2</x:v>
      </x:c>
      <x:c r="C57" s="145" t="n">
        <x:v>77.1</x:v>
      </x:c>
      <x:c r="D57" s="145" t="n">
        <x:v>100</x:v>
      </x:c>
      <x:c r="E57" s="145" t="n">
        <x:v>100</x:v>
      </x:c>
      <x:c r="F57" s="145" t="n">
        <x:v>-21.9</x:v>
      </x:c>
      <x:c r="G57" s="145" t="n">
        <x:v>-0.3291</x:v>
      </x:c>
    </x:row>
    <x:row r="58" ht="18" customHeight="1">
      <x:c r="A58" s="144" t="str">
        <x:v>1989-09</x:v>
      </x:c>
      <x:c r="B58" s="145" t="n">
        <x:v>49</x:v>
      </x:c>
      <x:c r="C58" s="145" t="n">
        <x:v>76.6</x:v>
      </x:c>
      <x:c r="D58" s="145" t="n">
        <x:v>90</x:v>
      </x:c>
      <x:c r="E58" s="145" t="n">
        <x:v>100</x:v>
      </x:c>
      <x:c r="F58" s="145" t="n">
        <x:v>-27.6</x:v>
      </x:c>
      <x:c r="G58" s="145" t="n">
        <x:v>-0.4395</x:v>
      </x:c>
    </x:row>
    <x:row r="59" ht="18" customHeight="1">
      <x:c r="A59" s="144" t="str">
        <x:v>1989-10</x:v>
      </x:c>
      <x:c r="B59" s="145" t="n">
        <x:v>116.5</x:v>
      </x:c>
      <x:c r="C59" s="145" t="n">
        <x:v>151.9</x:v>
      </x:c>
      <x:c r="D59" s="145" t="n">
        <x:v>100</x:v>
      </x:c>
      <x:c r="E59" s="145" t="n">
        <x:v>100</x:v>
      </x:c>
      <x:c r="F59" s="145" t="n">
        <x:v>-35.4</x:v>
      </x:c>
      <x:c r="G59" s="145" t="n">
        <x:v>-0.2633</x:v>
      </x:c>
    </x:row>
    <x:row r="60" ht="18" customHeight="1">
      <x:c r="A60" s="144" t="str">
        <x:v>1989-11</x:v>
      </x:c>
      <x:c r="B60" s="145" t="n">
        <x:v>61.9</x:v>
      </x:c>
      <x:c r="C60" s="145" t="n">
        <x:v>53.5</x:v>
      </x:c>
      <x:c r="D60" s="145" t="n">
        <x:v>100</x:v>
      </x:c>
      <x:c r="E60" s="145" t="n">
        <x:v>100</x:v>
      </x:c>
      <x:c r="F60" s="145" t="n">
        <x:v>8.4</x:v>
      </x:c>
      <x:c r="G60" s="145" t="n">
        <x:v>0.1433</x:v>
      </x:c>
    </x:row>
    <x:row r="61" ht="18" customHeight="1">
      <x:c r="A61" s="144" t="str">
        <x:v>1989-12</x:v>
      </x:c>
      <x:c r="B61" s="145" t="n">
        <x:v>94</x:v>
      </x:c>
      <x:c r="C61" s="145" t="n">
        <x:v>82.9</x:v>
      </x:c>
      <x:c r="D61" s="145" t="n">
        <x:v>100</x:v>
      </x:c>
      <x:c r="E61" s="145" t="n">
        <x:v>100</x:v>
      </x:c>
      <x:c r="F61" s="145" t="n">
        <x:v>11.1</x:v>
      </x:c>
      <x:c r="G61" s="145" t="n">
        <x:v>0.1243</x:v>
      </x:c>
    </x:row>
    <x:row r="62" ht="18" customHeight="1">
      <x:c r="A62" s="144" t="str">
        <x:v>1990-01</x:v>
      </x:c>
      <x:c r="B62" s="145" t="n">
        <x:v>132.7</x:v>
      </x:c>
      <x:c r="C62" s="145" t="n">
        <x:v>32.4</x:v>
      </x:c>
      <x:c r="D62" s="145" t="n">
        <x:v>100</x:v>
      </x:c>
      <x:c r="E62" s="145" t="n">
        <x:v>100</x:v>
      </x:c>
      <x:c r="F62" s="145" t="n">
        <x:v>100.3</x:v>
      </x:c>
      <x:c r="G62" s="145" t="n">
        <x:v>1.387</x:v>
      </x:c>
    </x:row>
    <x:row r="63" ht="18" customHeight="1">
      <x:c r="A63" s="144" t="str">
        <x:v>1990-02</x:v>
      </x:c>
      <x:c r="B63" s="145" t="n">
        <x:v>240.8</x:v>
      </x:c>
      <x:c r="C63" s="145" t="n">
        <x:v>201</x:v>
      </x:c>
      <x:c r="D63" s="145" t="n">
        <x:v>100</x:v>
      </x:c>
      <x:c r="E63" s="145" t="n">
        <x:v>100</x:v>
      </x:c>
      <x:c r="F63" s="145" t="n">
        <x:v>39.8</x:v>
      </x:c>
      <x:c r="G63" s="145" t="n">
        <x:v>0.1798</x:v>
      </x:c>
    </x:row>
    <x:row r="64" ht="18" customHeight="1">
      <x:c r="A64" s="144" t="str">
        <x:v>1990-03</x:v>
      </x:c>
      <x:c r="B64" s="145" t="n">
        <x:v>261.1</x:v>
      </x:c>
      <x:c r="C64" s="145" t="n">
        <x:v>176.2</x:v>
      </x:c>
      <x:c r="D64" s="145" t="n">
        <x:v>100</x:v>
      </x:c>
      <x:c r="E64" s="145" t="n">
        <x:v>100</x:v>
      </x:c>
      <x:c r="F64" s="145" t="n">
        <x:v>84.9</x:v>
      </x:c>
      <x:c r="G64" s="145" t="n">
        <x:v>0.3914</x:v>
      </x:c>
    </x:row>
    <x:row r="65" ht="18" customHeight="1">
      <x:c r="A65" s="144" t="str">
        <x:v>1990-04</x:v>
      </x:c>
      <x:c r="B65" s="145" t="n">
        <x:v>198.4</x:v>
      </x:c>
      <x:c r="C65" s="145" t="n">
        <x:v>182.7</x:v>
      </x:c>
      <x:c r="D65" s="145" t="n">
        <x:v>100</x:v>
      </x:c>
      <x:c r="E65" s="145" t="n">
        <x:v>100</x:v>
      </x:c>
      <x:c r="F65" s="145" t="n">
        <x:v>15.7</x:v>
      </x:c>
      <x:c r="G65" s="145" t="n">
        <x:v>0.082</x:v>
      </x:c>
    </x:row>
    <x:row r="66" ht="18" customHeight="1">
      <x:c r="A66" s="144" t="str">
        <x:v>1990-05</x:v>
      </x:c>
      <x:c r="B66" s="145" t="n">
        <x:v>113.4</x:v>
      </x:c>
      <x:c r="C66" s="145" t="n">
        <x:v>98.8</x:v>
      </x:c>
      <x:c r="D66" s="145" t="n">
        <x:v>100</x:v>
      </x:c>
      <x:c r="E66" s="145" t="n">
        <x:v>100</x:v>
      </x:c>
      <x:c r="F66" s="145" t="n">
        <x:v>14.6</x:v>
      </x:c>
      <x:c r="G66" s="145" t="n">
        <x:v>0.1365</x:v>
      </x:c>
    </x:row>
    <x:row r="67" ht="18" customHeight="1">
      <x:c r="A67" s="144" t="str">
        <x:v>1990-06</x:v>
      </x:c>
      <x:c r="B67" s="145" t="n">
        <x:v>408.4</x:v>
      </x:c>
      <x:c r="C67" s="145" t="n">
        <x:v>420.9</x:v>
      </x:c>
      <x:c r="D67" s="145" t="n">
        <x:v>100</x:v>
      </x:c>
      <x:c r="E67" s="145" t="n">
        <x:v>100</x:v>
      </x:c>
      <x:c r="F67" s="145" t="n">
        <x:v>-12.5</x:v>
      </x:c>
      <x:c r="G67" s="145" t="n">
        <x:v>-0.0301</x:v>
      </x:c>
    </x:row>
    <x:row r="68" ht="18" customHeight="1">
      <x:c r="A68" s="144" t="str">
        <x:v>1990-07</x:v>
      </x:c>
      <x:c r="B68" s="145" t="n">
        <x:v>63.8</x:v>
      </x:c>
      <x:c r="C68" s="145" t="n">
        <x:v>55</x:v>
      </x:c>
      <x:c r="D68" s="145" t="n">
        <x:v>100</x:v>
      </x:c>
      <x:c r="E68" s="145" t="n">
        <x:v>100</x:v>
      </x:c>
      <x:c r="F68" s="145" t="n">
        <x:v>8.8</x:v>
      </x:c>
      <x:c r="G68" s="145" t="n">
        <x:v>0.146</x:v>
      </x:c>
    </x:row>
    <x:row r="69" ht="18" customHeight="1">
      <x:c r="A69" s="144" t="str">
        <x:v>1990-08</x:v>
      </x:c>
      <x:c r="B69" s="145" t="n">
        <x:v>14</x:v>
      </x:c>
      <x:c r="C69" s="145" t="n">
        <x:v>8.2</x:v>
      </x:c>
      <x:c r="D69" s="145" t="n">
        <x:v>100</x:v>
      </x:c>
      <x:c r="E69" s="145" t="n">
        <x:v>100</x:v>
      </x:c>
      <x:c r="F69" s="145" t="n">
        <x:v>5.8</x:v>
      </x:c>
      <x:c r="G69" s="145" t="n">
        <x:v>0.4888</x:v>
      </x:c>
    </x:row>
    <x:row r="70" ht="18" customHeight="1">
      <x:c r="A70" s="144" t="str">
        <x:v>1990-09</x:v>
      </x:c>
      <x:c r="B70" s="145" t="n">
        <x:v>41.6</x:v>
      </x:c>
      <x:c r="C70" s="145" t="n">
        <x:v>24.5</x:v>
      </x:c>
      <x:c r="D70" s="145" t="n">
        <x:v>100</x:v>
      </x:c>
      <x:c r="E70" s="145" t="n">
        <x:v>100</x:v>
      </x:c>
      <x:c r="F70" s="145" t="n">
        <x:v>17.1</x:v>
      </x:c>
      <x:c r="G70" s="145" t="n">
        <x:v>0.5132</x:v>
      </x:c>
    </x:row>
    <x:row r="71" ht="18" customHeight="1">
      <x:c r="A71" s="144" t="str">
        <x:v>1990-10</x:v>
      </x:c>
      <x:c r="B71" s="145" t="n">
        <x:v>52.6</x:v>
      </x:c>
      <x:c r="C71" s="145" t="n">
        <x:v>50.9</x:v>
      </x:c>
      <x:c r="D71" s="145" t="n">
        <x:v>100</x:v>
      </x:c>
      <x:c r="E71" s="145" t="n">
        <x:v>100</x:v>
      </x:c>
      <x:c r="F71" s="145" t="n">
        <x:v>1.7</x:v>
      </x:c>
      <x:c r="G71" s="145" t="n">
        <x:v>0.0322</x:v>
      </x:c>
    </x:row>
    <x:row r="72" ht="18" customHeight="1">
      <x:c r="A72" s="144" t="str">
        <x:v>1990-11</x:v>
      </x:c>
      <x:c r="B72" s="145" t="n">
        <x:v>17.5</x:v>
      </x:c>
      <x:c r="C72" s="145" t="n">
        <x:v>6.4</x:v>
      </x:c>
      <x:c r="D72" s="145" t="n">
        <x:v>100</x:v>
      </x:c>
      <x:c r="E72" s="145" t="n">
        <x:v>100</x:v>
      </x:c>
      <x:c r="F72" s="145" t="n">
        <x:v>11.1</x:v>
      </x:c>
      <x:c r="G72" s="145" t="n">
        <x:v>0.9163</x:v>
      </x:c>
    </x:row>
    <x:row r="73" ht="18" customHeight="1">
      <x:c r="A73" s="144" t="str">
        <x:v>1990-12</x:v>
      </x:c>
      <x:c r="B73" s="145" t="n">
        <x:v>44.9</x:v>
      </x:c>
      <x:c r="C73" s="145" t="n">
        <x:v>183.2</x:v>
      </x:c>
      <x:c r="D73" s="145" t="n">
        <x:v>100</x:v>
      </x:c>
      <x:c r="E73" s="145" t="n">
        <x:v>100</x:v>
      </x:c>
      <x:c r="F73" s="145" t="n">
        <x:v>-138.3</x:v>
      </x:c>
      <x:c r="G73" s="145" t="n">
        <x:v>-1.3896</x:v>
      </x:c>
    </x:row>
    <x:row r="74" ht="18" customHeight="1">
      <x:c r="A74" s="144" t="str">
        <x:v>1991-07</x:v>
      </x:c>
      <x:c r="B74" s="145" t="n">
        <x:v>235.6</x:v>
      </x:c>
      <x:c r="C74" s="145" t="n">
        <x:v>285</x:v>
      </x:c>
      <x:c r="D74" s="145" t="n">
        <x:v>100</x:v>
      </x:c>
      <x:c r="E74" s="145" t="n">
        <x:v>100</x:v>
      </x:c>
      <x:c r="F74" s="145" t="n">
        <x:v>-49.4</x:v>
      </x:c>
      <x:c r="G74" s="145" t="n">
        <x:v>-0.1896</x:v>
      </x:c>
    </x:row>
    <x:row r="75" ht="18" customHeight="1">
      <x:c r="A75" s="144" t="str">
        <x:v>1991-11</x:v>
      </x:c>
      <x:c r="B75" s="145" t="n">
        <x:v>111.2</x:v>
      </x:c>
      <x:c r="C75" s="145" t="n">
        <x:v>32.9</x:v>
      </x:c>
      <x:c r="D75" s="145" t="n">
        <x:v>100</x:v>
      </x:c>
      <x:c r="E75" s="145" t="n">
        <x:v>100</x:v>
      </x:c>
      <x:c r="F75" s="145" t="n">
        <x:v>78.3</x:v>
      </x:c>
      <x:c r="G75" s="145" t="n">
        <x:v>1.1969</x:v>
      </x:c>
    </x:row>
    <x:row r="76" ht="18" customHeight="1">
      <x:c r="A76" s="144" t="str">
        <x:v>1992-01</x:v>
      </x:c>
      <x:c r="B76" s="145" t="n">
        <x:v>114.8</x:v>
      </x:c>
      <x:c r="C76" s="145" t="n">
        <x:v>90.8</x:v>
      </x:c>
      <x:c r="D76" s="145" t="n">
        <x:v>100</x:v>
      </x:c>
      <x:c r="E76" s="145" t="n">
        <x:v>100</x:v>
      </x:c>
      <x:c r="F76" s="145" t="n">
        <x:v>24</x:v>
      </x:c>
      <x:c r="G76" s="145" t="n">
        <x:v>0.2323</x:v>
      </x:c>
    </x:row>
    <x:row r="77" ht="18" customHeight="1">
      <x:c r="A77" s="144" t="str">
        <x:v>1992-02</x:v>
      </x:c>
      <x:c r="B77" s="145" t="n">
        <x:v>185.6</x:v>
      </x:c>
      <x:c r="C77" s="145" t="n">
        <x:v>95.3</x:v>
      </x:c>
      <x:c r="D77" s="145" t="n">
        <x:v>100</x:v>
      </x:c>
      <x:c r="E77" s="145" t="n">
        <x:v>100</x:v>
      </x:c>
      <x:c r="F77" s="145" t="n">
        <x:v>90.3</x:v>
      </x:c>
      <x:c r="G77" s="145" t="n">
        <x:v>0.6615</x:v>
      </x:c>
    </x:row>
    <x:row r="78" ht="18" customHeight="1">
      <x:c r="A78" s="144" t="str">
        <x:v>1992-03</x:v>
      </x:c>
      <x:c r="B78" s="145" t="n">
        <x:v>396.6</x:v>
      </x:c>
      <x:c r="C78" s="145" t="n">
        <x:v>128</x:v>
      </x:c>
      <x:c r="D78" s="145" t="n">
        <x:v>100</x:v>
      </x:c>
      <x:c r="E78" s="145" t="n">
        <x:v>100</x:v>
      </x:c>
      <x:c r="F78" s="145" t="n">
        <x:v>268.6</x:v>
      </x:c>
      <x:c r="G78" s="145" t="n">
        <x:v>1.1256</x:v>
      </x:c>
    </x:row>
    <x:row r="79" ht="18" customHeight="1">
      <x:c r="A79" s="144" t="str">
        <x:v>1992-04</x:v>
      </x:c>
      <x:c r="B79" s="145" t="n">
        <x:v>330.5</x:v>
      </x:c>
      <x:c r="C79" s="145" t="n">
        <x:v>285.4</x:v>
      </x:c>
      <x:c r="D79" s="145" t="n">
        <x:v>100</x:v>
      </x:c>
      <x:c r="E79" s="145" t="n">
        <x:v>100</x:v>
      </x:c>
      <x:c r="F79" s="145" t="n">
        <x:v>45.1</x:v>
      </x:c>
      <x:c r="G79" s="145" t="n">
        <x:v>0.1462</x:v>
      </x:c>
    </x:row>
    <x:row r="80" ht="18" customHeight="1">
      <x:c r="A80" s="144" t="str">
        <x:v>1992-05</x:v>
      </x:c>
      <x:c r="B80" s="145" t="n">
        <x:v>519</x:v>
      </x:c>
      <x:c r="C80" s="145" t="n">
        <x:v>582.9</x:v>
      </x:c>
      <x:c r="D80" s="145" t="n">
        <x:v>100</x:v>
      </x:c>
      <x:c r="E80" s="145" t="n">
        <x:v>100</x:v>
      </x:c>
      <x:c r="F80" s="145" t="n">
        <x:v>-63.9</x:v>
      </x:c>
      <x:c r="G80" s="145" t="n">
        <x:v>-0.1159</x:v>
      </x:c>
    </x:row>
    <x:row r="81" ht="18" customHeight="1">
      <x:c r="A81" s="144" t="str">
        <x:v>1992-06</x:v>
      </x:c>
      <x:c r="B81" s="145" t="n">
        <x:v>291.1</x:v>
      </x:c>
      <x:c r="C81" s="145" t="n">
        <x:v>104.1</x:v>
      </x:c>
      <x:c r="D81" s="145" t="n">
        <x:v>100</x:v>
      </x:c>
      <x:c r="E81" s="145" t="n">
        <x:v>100</x:v>
      </x:c>
      <x:c r="F81" s="145" t="n">
        <x:v>187</x:v>
      </x:c>
      <x:c r="G81" s="145" t="n">
        <x:v>1.0222</x:v>
      </x:c>
    </x:row>
    <x:row r="82" ht="18" customHeight="1">
      <x:c r="A82" s="144" t="str">
        <x:v>1992-07</x:v>
      </x:c>
      <x:c r="B82" s="145" t="n">
        <x:v>115.7</x:v>
      </x:c>
      <x:c r="C82" s="145" t="n">
        <x:v>187.7</x:v>
      </x:c>
      <x:c r="D82" s="145" t="n">
        <x:v>100</x:v>
      </x:c>
      <x:c r="E82" s="145" t="n">
        <x:v>100</x:v>
      </x:c>
      <x:c r="F82" s="145" t="n">
        <x:v>-72</x:v>
      </x:c>
      <x:c r="G82" s="145" t="n">
        <x:v>-0.4806</x:v>
      </x:c>
    </x:row>
    <x:row r="83" ht="18" customHeight="1">
      <x:c r="A83" s="144" t="str">
        <x:v>1992-08</x:v>
      </x:c>
      <x:c r="B83" s="145" t="n">
        <x:v>182.2</x:v>
      </x:c>
      <x:c r="C83" s="145" t="n">
        <x:v>183.8</x:v>
      </x:c>
      <x:c r="D83" s="145" t="n">
        <x:v>100</x:v>
      </x:c>
      <x:c r="E83" s="145" t="n">
        <x:v>100</x:v>
      </x:c>
      <x:c r="F83" s="145" t="n">
        <x:v>-1.6</x:v>
      </x:c>
      <x:c r="G83" s="145" t="n">
        <x:v>-0.0087</x:v>
      </x:c>
    </x:row>
    <x:row r="84" ht="18" customHeight="1">
      <x:c r="A84" s="144" t="str">
        <x:v>1992-09</x:v>
      </x:c>
      <x:c r="B84" s="145" t="n">
        <x:v>92.9</x:v>
      </x:c>
      <x:c r="C84" s="145" t="n">
        <x:v>68.2</x:v>
      </x:c>
      <x:c r="D84" s="145" t="n">
        <x:v>100</x:v>
      </x:c>
      <x:c r="E84" s="145" t="n">
        <x:v>100</x:v>
      </x:c>
      <x:c r="F84" s="145" t="n">
        <x:v>24.7</x:v>
      </x:c>
      <x:c r="G84" s="145" t="n">
        <x:v>0.3052</x:v>
      </x:c>
    </x:row>
    <x:row r="85" ht="18" customHeight="1">
      <x:c r="A85" s="144" t="str">
        <x:v>1992-10</x:v>
      </x:c>
      <x:c r="B85" s="145" t="n">
        <x:v>126.4</x:v>
      </x:c>
      <x:c r="C85" s="145" t="n">
        <x:v>43</x:v>
      </x:c>
      <x:c r="D85" s="145" t="n">
        <x:v>100</x:v>
      </x:c>
      <x:c r="E85" s="145" t="n">
        <x:v>100</x:v>
      </x:c>
      <x:c r="F85" s="145" t="n">
        <x:v>83.4</x:v>
      </x:c>
      <x:c r="G85" s="145" t="n">
        <x:v>1.0631</x:v>
      </x:c>
    </x:row>
    <x:row r="86" ht="18" customHeight="1">
      <x:c r="A86" s="144" t="str">
        <x:v>1992-11</x:v>
      </x:c>
      <x:c r="B86" s="145" t="n">
        <x:v>83.4</x:v>
      </x:c>
      <x:c r="C86" s="145" t="n">
        <x:v>23.9</x:v>
      </x:c>
      <x:c r="D86" s="145" t="n">
        <x:v>100</x:v>
      </x:c>
      <x:c r="E86" s="145" t="n">
        <x:v>100</x:v>
      </x:c>
      <x:c r="F86" s="145" t="n">
        <x:v>59.5</x:v>
      </x:c>
      <x:c r="G86" s="145" t="n">
        <x:v>1.2207</x:v>
      </x:c>
    </x:row>
    <x:row r="87" ht="18" customHeight="1">
      <x:c r="A87" s="144" t="str">
        <x:v>1992-12</x:v>
      </x:c>
      <x:c r="B87" s="145" t="n">
        <x:v>183.8</x:v>
      </x:c>
      <x:c r="C87" s="145" t="n">
        <x:v>91.8</x:v>
      </x:c>
      <x:c r="D87" s="145" t="n">
        <x:v>100</x:v>
      </x:c>
      <x:c r="E87" s="145" t="n">
        <x:v>100</x:v>
      </x:c>
      <x:c r="F87" s="145" t="n">
        <x:v>92</x:v>
      </x:c>
      <x:c r="G87" s="145" t="n">
        <x:v>0.6888</x:v>
      </x:c>
    </x:row>
    <x:row r="88" ht="18" customHeight="1">
      <x:c r="A88" s="144" t="str">
        <x:v>1993-01</x:v>
      </x:c>
      <x:c r="B88" s="145" t="n">
        <x:v>234.9</x:v>
      </x:c>
      <x:c r="C88" s="145" t="n">
        <x:v>112.5</x:v>
      </x:c>
      <x:c r="D88" s="145" t="n">
        <x:v>100</x:v>
      </x:c>
      <x:c r="E88" s="145" t="n">
        <x:v>100</x:v>
      </x:c>
      <x:c r="F88" s="145" t="n">
        <x:v>122.4</x:v>
      </x:c>
      <x:c r="G88" s="145" t="n">
        <x:v>0.7316</x:v>
      </x:c>
    </x:row>
    <x:row r="89" ht="18" customHeight="1">
      <x:c r="A89" s="144" t="str">
        <x:v>1993-03</x:v>
      </x:c>
      <x:c r="B89" s="145" t="n">
        <x:v>463.5</x:v>
      </x:c>
      <x:c r="C89" s="145" t="n">
        <x:v>43.2</x:v>
      </x:c>
      <x:c r="D89" s="145" t="n">
        <x:v>100</x:v>
      </x:c>
      <x:c r="E89" s="145" t="n">
        <x:v>100</x:v>
      </x:c>
      <x:c r="F89" s="145" t="n">
        <x:v>420.3</x:v>
      </x:c>
      <x:c r="G89" s="145" t="n">
        <x:v>2.3522</x:v>
      </x:c>
    </x:row>
    <x:row r="90" ht="18" customHeight="1">
      <x:c r="A90" s="144" t="str">
        <x:v>1993-04</x:v>
      </x:c>
      <x:c r="B90" s="145" t="n">
        <x:v>430.2</x:v>
      </x:c>
      <x:c r="C90" s="145" t="n">
        <x:v>268.7</x:v>
      </x:c>
      <x:c r="D90" s="145" t="n">
        <x:v>100</x:v>
      </x:c>
      <x:c r="E90" s="145" t="n">
        <x:v>100</x:v>
      </x:c>
      <x:c r="F90" s="145" t="n">
        <x:v>161.5</x:v>
      </x:c>
      <x:c r="G90" s="145" t="n">
        <x:v>0.4693</x:v>
      </x:c>
    </x:row>
    <x:row r="91" ht="18" customHeight="1">
      <x:c r="A91" s="144" t="str">
        <x:v>1993-06</x:v>
      </x:c>
      <x:c r="B91" s="145" t="n">
        <x:v>33.7</x:v>
      </x:c>
      <x:c r="C91" s="145" t="n">
        <x:v>156.8</x:v>
      </x:c>
      <x:c r="D91" s="145" t="n">
        <x:v>100</x:v>
      </x:c>
      <x:c r="E91" s="145" t="n">
        <x:v>100</x:v>
      </x:c>
      <x:c r="F91" s="145" t="n">
        <x:v>-123.1</x:v>
      </x:c>
      <x:c r="G91" s="145" t="n">
        <x:v>-1.5146</x:v>
      </x:c>
    </x:row>
    <x:row r="92" ht="18" customHeight="1">
      <x:c r="A92" s="144" t="str">
        <x:v>1993-07</x:v>
      </x:c>
      <x:c r="B92" s="145" t="n">
        <x:v>22.5</x:v>
      </x:c>
      <x:c r="C92" s="145" t="n">
        <x:v>67.2</x:v>
      </x:c>
      <x:c r="D92" s="145" t="n">
        <x:v>100</x:v>
      </x:c>
      <x:c r="E92" s="145" t="n">
        <x:v>90.3</x:v>
      </x:c>
      <x:c r="F92" s="145" t="n">
        <x:v>-44.7</x:v>
      </x:c>
      <x:c r="G92" s="145" t="n">
        <x:v>-1.0654</x:v>
      </x:c>
    </x:row>
    <x:row r="93" ht="18" customHeight="1">
      <x:c r="A93" s="144" t="str">
        <x:v>1993-08</x:v>
      </x:c>
      <x:c r="B93" s="145" t="n">
        <x:v>25.6</x:v>
      </x:c>
      <x:c r="C93" s="145" t="n">
        <x:v>60.8</x:v>
      </x:c>
      <x:c r="D93" s="145" t="n">
        <x:v>100</x:v>
      </x:c>
      <x:c r="E93" s="145" t="n">
        <x:v>100</x:v>
      </x:c>
      <x:c r="F93" s="145" t="n">
        <x:v>-35.2</x:v>
      </x:c>
      <x:c r="G93" s="145" t="n">
        <x:v>-0.843</x:v>
      </x:c>
    </x:row>
    <x:row r="94" ht="18" customHeight="1">
      <x:c r="A94" s="144" t="str">
        <x:v>1993-09</x:v>
      </x:c>
      <x:c r="B94" s="145" t="n">
        <x:v>2.1</x:v>
      </x:c>
      <x:c r="C94" s="145" t="n">
        <x:v>34.6</x:v>
      </x:c>
      <x:c r="D94" s="145" t="n">
        <x:v>100</x:v>
      </x:c>
      <x:c r="E94" s="145" t="n">
        <x:v>100</x:v>
      </x:c>
      <x:c r="F94" s="145" t="n">
        <x:v>-32.5</x:v>
      </x:c>
      <x:c r="G94" s="145" t="n">
        <x:v>-2.4409</x:v>
      </x:c>
    </x:row>
    <x:row r="95" ht="18" customHeight="1">
      <x:c r="A95" s="144" t="str">
        <x:v>1993-10</x:v>
      </x:c>
      <x:c r="B95" s="145" t="n">
        <x:v>13.5</x:v>
      </x:c>
      <x:c r="C95" s="145" t="n">
        <x:v>48.4</x:v>
      </x:c>
      <x:c r="D95" s="145" t="n">
        <x:v>100</x:v>
      </x:c>
      <x:c r="E95" s="145" t="n">
        <x:v>100</x:v>
      </x:c>
      <x:c r="F95" s="145" t="n">
        <x:v>-34.9</x:v>
      </x:c>
      <x:c r="G95" s="145" t="n">
        <x:v>-1.2258</x:v>
      </x:c>
    </x:row>
    <x:row r="96" ht="18" customHeight="1">
      <x:c r="A96" s="144" t="str">
        <x:v>1993-11</x:v>
      </x:c>
      <x:c r="B96" s="145" t="n">
        <x:v>11.1</x:v>
      </x:c>
      <x:c r="C96" s="145" t="n">
        <x:v>3.1</x:v>
      </x:c>
      <x:c r="D96" s="145" t="n">
        <x:v>100</x:v>
      </x:c>
      <x:c r="E96" s="145" t="n">
        <x:v>100</x:v>
      </x:c>
      <x:c r="F96" s="145" t="n">
        <x:v>8</x:v>
      </x:c>
      <x:c r="G96" s="145" t="n">
        <x:v>1.0822</x:v>
      </x:c>
    </x:row>
    <x:row r="97" ht="18" customHeight="1">
      <x:c r="A97" s="144" t="str">
        <x:v>1993-12</x:v>
      </x:c>
      <x:c r="B97" s="145" t="n">
        <x:v>8.9</x:v>
      </x:c>
      <x:c r="C97" s="145" t="n">
        <x:v>103.8</x:v>
      </x:c>
      <x:c r="D97" s="145" t="n">
        <x:v>100</x:v>
      </x:c>
      <x:c r="E97" s="145" t="n">
        <x:v>100</x:v>
      </x:c>
      <x:c r="F97" s="145" t="n">
        <x:v>-94.9</x:v>
      </x:c>
      <x:c r="G97" s="145" t="n">
        <x:v>-2.3595</x:v>
      </x:c>
    </x:row>
    <x:row r="98" ht="18" customHeight="1">
      <x:c r="A98" s="144" t="str">
        <x:v>1994-01</x:v>
      </x:c>
      <x:c r="B98" s="145" t="n">
        <x:v>37.2</x:v>
      </x:c>
      <x:c r="C98" s="145" t="n">
        <x:v>361.4</x:v>
      </x:c>
      <x:c r="D98" s="145" t="n">
        <x:v>100</x:v>
      </x:c>
      <x:c r="E98" s="145" t="n">
        <x:v>100</x:v>
      </x:c>
      <x:c r="F98" s="145" t="n">
        <x:v>-324.2</x:v>
      </x:c>
      <x:c r="G98" s="145" t="n">
        <x:v>-2.2499</x:v>
      </x:c>
    </x:row>
    <x:row r="99" ht="18" customHeight="1">
      <x:c r="A99" s="144" t="str">
        <x:v>1994-02</x:v>
      </x:c>
      <x:c r="B99" s="145" t="n">
        <x:v>39.4</x:v>
      </x:c>
      <x:c r="C99" s="145" t="n">
        <x:v>176.1</x:v>
      </x:c>
      <x:c r="D99" s="145" t="n">
        <x:v>100</x:v>
      </x:c>
      <x:c r="E99" s="145" t="n">
        <x:v>100</x:v>
      </x:c>
      <x:c r="F99" s="145" t="n">
        <x:v>-136.7</x:v>
      </x:c>
      <x:c r="G99" s="145" t="n">
        <x:v>-1.4779</x:v>
      </x:c>
    </x:row>
    <x:row r="100" ht="18" customHeight="1">
      <x:c r="A100" s="144" t="str">
        <x:v>1994-03</x:v>
      </x:c>
      <x:c r="B100" s="145" t="n">
        <x:v>29.9</x:v>
      </x:c>
      <x:c r="C100" s="145" t="n">
        <x:v>288.9</x:v>
      </x:c>
      <x:c r="D100" s="145" t="n">
        <x:v>100</x:v>
      </x:c>
      <x:c r="E100" s="145" t="n">
        <x:v>100</x:v>
      </x:c>
      <x:c r="F100" s="145" t="n">
        <x:v>-259</x:v>
      </x:c>
      <x:c r="G100" s="145" t="n">
        <x:v>-2.2388</x:v>
      </x:c>
    </x:row>
    <x:row r="101" ht="18" customHeight="1">
      <x:c r="A101" s="144" t="str">
        <x:v>1994-04</x:v>
      </x:c>
      <x:c r="B101" s="145" t="n">
        <x:v>461</x:v>
      </x:c>
      <x:c r="C101" s="145" t="n">
        <x:v>314.2</x:v>
      </x:c>
      <x:c r="D101" s="145" t="n">
        <x:v>100</x:v>
      </x:c>
      <x:c r="E101" s="145" t="n">
        <x:v>100</x:v>
      </x:c>
      <x:c r="F101" s="145" t="n">
        <x:v>146.8</x:v>
      </x:c>
      <x:c r="G101" s="145" t="n">
        <x:v>0.3824</x:v>
      </x:c>
    </x:row>
    <x:row r="102" ht="18" customHeight="1">
      <x:c r="A102" s="144" t="str">
        <x:v>1994-05</x:v>
      </x:c>
      <x:c r="B102" s="145" t="n">
        <x:v>485</x:v>
      </x:c>
      <x:c r="C102" s="145" t="n">
        <x:v>246</x:v>
      </x:c>
      <x:c r="D102" s="145" t="n">
        <x:v>100</x:v>
      </x:c>
      <x:c r="E102" s="145" t="n">
        <x:v>100</x:v>
      </x:c>
      <x:c r="F102" s="145" t="n">
        <x:v>239</x:v>
      </x:c>
      <x:c r="G102" s="145" t="n">
        <x:v>0.6768</x:v>
      </x:c>
    </x:row>
    <x:row r="103" ht="18" customHeight="1">
      <x:c r="A103" s="144" t="str">
        <x:v>1994-06</x:v>
      </x:c>
      <x:c r="B103" s="145" t="n">
        <x:v>210</x:v>
      </x:c>
      <x:c r="C103" s="145" t="n">
        <x:v>36.9</x:v>
      </x:c>
      <x:c r="D103" s="145" t="n">
        <x:v>100</x:v>
      </x:c>
      <x:c r="E103" s="145" t="n">
        <x:v>100</x:v>
      </x:c>
      <x:c r="F103" s="145" t="n">
        <x:v>173.1</x:v>
      </x:c>
      <x:c r="G103" s="145" t="n">
        <x:v>1.7169</x:v>
      </x:c>
    </x:row>
    <x:row r="104" ht="18" customHeight="1">
      <x:c r="A104" s="144" t="str">
        <x:v>1994-08</x:v>
      </x:c>
      <x:c r="B104" s="145" t="n">
        <x:v>35</x:v>
      </x:c>
      <x:c r="C104" s="145" t="n">
        <x:v>53.3</x:v>
      </x:c>
      <x:c r="D104" s="145" t="n">
        <x:v>100</x:v>
      </x:c>
      <x:c r="E104" s="145" t="n">
        <x:v>100</x:v>
      </x:c>
      <x:c r="F104" s="145" t="n">
        <x:v>-18.3</x:v>
      </x:c>
      <x:c r="G104" s="145" t="n">
        <x:v>-0.411</x:v>
      </x:c>
    </x:row>
    <x:row r="105" ht="18" customHeight="1">
      <x:c r="A105" s="144" t="str">
        <x:v>1994-09</x:v>
      </x:c>
      <x:c r="B105" s="145" t="n">
        <x:v>75</x:v>
      </x:c>
      <x:c r="C105" s="145" t="n">
        <x:v>12.9</x:v>
      </x:c>
      <x:c r="D105" s="145" t="n">
        <x:v>100</x:v>
      </x:c>
      <x:c r="E105" s="145" t="n">
        <x:v>100</x:v>
      </x:c>
      <x:c r="F105" s="145" t="n">
        <x:v>62.1</x:v>
      </x:c>
      <x:c r="G105" s="145" t="n">
        <x:v>1.6988</x:v>
      </x:c>
    </x:row>
    <x:row r="106" ht="18" customHeight="1">
      <x:c r="A106" s="144" t="str">
        <x:v>1994-10</x:v>
      </x:c>
      <x:c r="B106" s="145" t="n">
        <x:v>181</x:v>
      </x:c>
      <x:c r="C106" s="145" t="n">
        <x:v>69.6</x:v>
      </x:c>
      <x:c r="D106" s="145" t="n">
        <x:v>100</x:v>
      </x:c>
      <x:c r="E106" s="145" t="n">
        <x:v>100</x:v>
      </x:c>
      <x:c r="F106" s="145" t="n">
        <x:v>111.4</x:v>
      </x:c>
      <x:c r="G106" s="145" t="n">
        <x:v>0.947</x:v>
      </x:c>
    </x:row>
    <x:row r="107" ht="18" customHeight="1">
      <x:c r="A107" s="144" t="str">
        <x:v>1994-11</x:v>
      </x:c>
      <x:c r="B107" s="145" t="n">
        <x:v>62</x:v>
      </x:c>
      <x:c r="C107" s="145" t="n">
        <x:v>8.4</x:v>
      </x:c>
      <x:c r="D107" s="145" t="n">
        <x:v>100</x:v>
      </x:c>
      <x:c r="E107" s="145" t="n">
        <x:v>100</x:v>
      </x:c>
      <x:c r="F107" s="145" t="n">
        <x:v>53.6</x:v>
      </x:c>
      <x:c r="G107" s="145" t="n">
        <x:v>1.9024</x:v>
      </x:c>
    </x:row>
    <x:row r="108" ht="18" customHeight="1">
      <x:c r="A108" s="144" t="str">
        <x:v>1994-12</x:v>
      </x:c>
      <x:c r="B108" s="145" t="n">
        <x:v>244</x:v>
      </x:c>
      <x:c r="C108" s="145" t="n">
        <x:v>68</x:v>
      </x:c>
      <x:c r="D108" s="145" t="n">
        <x:v>100</x:v>
      </x:c>
      <x:c r="E108" s="145" t="n">
        <x:v>100</x:v>
      </x:c>
      <x:c r="F108" s="145" t="n">
        <x:v>176</x:v>
      </x:c>
      <x:c r="G108" s="145" t="n">
        <x:v>1.2672</x:v>
      </x:c>
    </x:row>
    <x:row r="109" ht="18" customHeight="1">
      <x:c r="A109" s="144" t="str">
        <x:v>1995-01</x:v>
      </x:c>
      <x:c r="B109" s="145" t="n">
        <x:v>106</x:v>
      </x:c>
      <x:c r="C109" s="145" t="n">
        <x:v>112.5</x:v>
      </x:c>
      <x:c r="D109" s="145" t="n">
        <x:v>100</x:v>
      </x:c>
      <x:c r="E109" s="145" t="n">
        <x:v>100</x:v>
      </x:c>
      <x:c r="F109" s="145" t="n">
        <x:v>-6.5</x:v>
      </x:c>
      <x:c r="G109" s="145" t="n">
        <x:v>-0.059</x:v>
      </x:c>
    </x:row>
    <x:row r="110" ht="18" customHeight="1">
      <x:c r="A110" s="144" t="str">
        <x:v>1995-02</x:v>
      </x:c>
      <x:c r="B110" s="145" t="n">
        <x:v>119</x:v>
      </x:c>
      <x:c r="C110" s="145" t="n">
        <x:v>65.8</x:v>
      </x:c>
      <x:c r="D110" s="145" t="n">
        <x:v>100</x:v>
      </x:c>
      <x:c r="E110" s="145" t="n">
        <x:v>100</x:v>
      </x:c>
      <x:c r="F110" s="145" t="n">
        <x:v>53.2</x:v>
      </x:c>
      <x:c r="G110" s="145" t="n">
        <x:v>0.5858</x:v>
      </x:c>
    </x:row>
    <x:row r="111" ht="18" customHeight="1">
      <x:c r="A111" s="144" t="str">
        <x:v>1995-04</x:v>
      </x:c>
      <x:c r="B111" s="145" t="n">
        <x:v>351</x:v>
      </x:c>
      <x:c r="C111" s="145" t="n">
        <x:v>468.2</x:v>
      </x:c>
      <x:c r="D111" s="145" t="n">
        <x:v>100</x:v>
      </x:c>
      <x:c r="E111" s="145" t="n">
        <x:v>100</x:v>
      </x:c>
      <x:c r="F111" s="145" t="n">
        <x:v>-117.2</x:v>
      </x:c>
      <x:c r="G111" s="145" t="n">
        <x:v>-0.2874</x:v>
      </x:c>
    </x:row>
    <x:row r="112" ht="18" customHeight="1">
      <x:c r="A112" s="144" t="str">
        <x:v>1995-05</x:v>
      </x:c>
      <x:c r="B112" s="145" t="n">
        <x:v>445</x:v>
      </x:c>
      <x:c r="C112" s="145" t="n">
        <x:v>98.8</x:v>
      </x:c>
      <x:c r="D112" s="145" t="n">
        <x:v>100</x:v>
      </x:c>
      <x:c r="E112" s="145" t="n">
        <x:v>100</x:v>
      </x:c>
      <x:c r="F112" s="145" t="n">
        <x:v>346.2</x:v>
      </x:c>
      <x:c r="G112" s="145" t="n">
        <x:v>1.4972</x:v>
      </x:c>
    </x:row>
    <x:row r="113" ht="18" customHeight="1">
      <x:c r="A113" s="144" t="str">
        <x:v>1995-06</x:v>
      </x:c>
      <x:c r="B113" s="145" t="n">
        <x:v>213</x:v>
      </x:c>
      <x:c r="C113" s="145" t="n">
        <x:v>470.5</x:v>
      </x:c>
      <x:c r="D113" s="145" t="n">
        <x:v>100</x:v>
      </x:c>
      <x:c r="E113" s="145" t="n">
        <x:v>100</x:v>
      </x:c>
      <x:c r="F113" s="145" t="n">
        <x:v>-257.5</x:v>
      </x:c>
      <x:c r="G113" s="145" t="n">
        <x:v>-0.7899</x:v>
      </x:c>
    </x:row>
    <x:row r="114" ht="18" customHeight="1">
      <x:c r="A114" s="144" t="str">
        <x:v>1995-07</x:v>
      </x:c>
      <x:c r="B114" s="145" t="n">
        <x:v>194</x:v>
      </x:c>
      <x:c r="C114" s="145" t="n">
        <x:v>11.1</x:v>
      </x:c>
      <x:c r="D114" s="145" t="n">
        <x:v>100</x:v>
      </x:c>
      <x:c r="E114" s="145" t="n">
        <x:v>100</x:v>
      </x:c>
      <x:c r="F114" s="145" t="n">
        <x:v>182.9</x:v>
      </x:c>
      <x:c r="G114" s="145" t="n">
        <x:v>2.7798</x:v>
      </x:c>
    </x:row>
    <x:row r="115" ht="18" customHeight="1">
      <x:c r="A115" s="144" t="str">
        <x:v>1995-08</x:v>
      </x:c>
      <x:c r="B115" s="145" t="n">
        <x:v>135</x:v>
      </x:c>
      <x:c r="C115" s="145" t="n">
        <x:v>128.6</x:v>
      </x:c>
      <x:c r="D115" s="145" t="n">
        <x:v>100</x:v>
      </x:c>
      <x:c r="E115" s="145" t="n">
        <x:v>100</x:v>
      </x:c>
      <x:c r="F115" s="145" t="n">
        <x:v>6.4</x:v>
      </x:c>
      <x:c r="G115" s="145" t="n">
        <x:v>0.0482</x:v>
      </x:c>
    </x:row>
    <x:row r="116" ht="18" customHeight="1">
      <x:c r="A116" s="144" t="str">
        <x:v>1995-09</x:v>
      </x:c>
      <x:c r="B116" s="145" t="n">
        <x:v>79</x:v>
      </x:c>
      <x:c r="C116" s="145" t="n">
        <x:v>48.7</x:v>
      </x:c>
      <x:c r="D116" s="145" t="n">
        <x:v>100</x:v>
      </x:c>
      <x:c r="E116" s="145" t="n">
        <x:v>100</x:v>
      </x:c>
      <x:c r="F116" s="145" t="n">
        <x:v>30.3</x:v>
      </x:c>
      <x:c r="G116" s="145" t="n">
        <x:v>0.476</x:v>
      </x:c>
    </x:row>
    <x:row r="117" ht="18" customHeight="1">
      <x:c r="A117" s="144" t="str">
        <x:v>1995-10</x:v>
      </x:c>
      <x:c r="B117" s="145" t="n">
        <x:v>242</x:v>
      </x:c>
      <x:c r="C117" s="145" t="n">
        <x:v>131</x:v>
      </x:c>
      <x:c r="D117" s="145" t="n">
        <x:v>100</x:v>
      </x:c>
      <x:c r="E117" s="145" t="n">
        <x:v>100</x:v>
      </x:c>
      <x:c r="F117" s="145" t="n">
        <x:v>111</x:v>
      </x:c>
      <x:c r="G117" s="145" t="n">
        <x:v>0.6103</x:v>
      </x:c>
    </x:row>
  </x:sheetData>
  <x:mergeCells>
    <x:mergeCell ref="A1:I2"/>
    <x:mergeCell ref="A4:I4"/>
  </x:mergeCells>
  <x:pageMargins left="0.7" right="0.7" top="0.75" bottom="0.75" header="0.3" footer="0.3"/>
  <x:drawing xmlns:r="http://schemas.openxmlformats.org/officeDocument/2006/relationships" r:id="Rea42d4c48349463a"/>
</x:worksheet>
</file>

<file path=xl/worksheets/sheet1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75" hidden="0" customWidth="1"/>
    <x:col min="3" max="3" width="35" hidden="0" customWidth="1"/>
    <x:col min="4" max="4" width="25" hidden="0" customWidth="1"/>
    <x:col min="5" max="5" width="22" hidden="0" customWidth="1"/>
    <x:col min="6" max="6" width="25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4" customHeight="1">
      <x:c r="A1" s="117" t="str">
        <x:v>ESTADO DEL A1 Y VALIDACIÓN DE HOMOGENEIDAD</x:v>
      </x:c>
      <x:c r="B1" s="117"/>
      <x:c r="C1" s="117"/>
      <x:c r="D1" s="117"/>
      <x:c r="E1" s="117"/>
      <x:c r="F1" s="117"/>
      <x:c r="G1" s="117"/>
      <x:c r="H1" s="117"/>
      <x:c r="I1" s="117"/>
    </x:row>
    <x:row r="2" ht="24" customHeight="1">
      <x:c r="A2" s="117"/>
      <x:c r="B2" s="117"/>
      <x:c r="C2" s="117"/>
      <x:c r="D2" s="117"/>
      <x:c r="E2" s="117"/>
      <x:c r="F2" s="117"/>
      <x:c r="G2" s="117"/>
      <x:c r="H2" s="117"/>
      <x:c r="I2" s="117"/>
    </x:row>
    <x:row r="3" ht="12" customHeight="1"/>
    <x:row r="5" ht="28" customHeight="1">
      <x:c r="A5" s="124" t="str">
        <x:v>Actividad</x:v>
      </x:c>
      <x:c r="B5" s="124" t="str">
        <x:v>Resultado técnico</x:v>
      </x:c>
      <x:c r="C5" s="124" t="str">
        <x:v>Estado</x:v>
      </x:c>
    </x:row>
    <x:row r="6" ht="45" customHeight="1">
      <x:c r="A6" s="136" t="str">
        <x:v>Prueba Pettitt COCO EL</x:v>
      </x:c>
      <x:c r="B6" s="136" t="str">
        <x:v>Cambio en marzo de 1997 en precipitación mensual, ya informado en análisis inicial.</x:v>
      </x:c>
      <x:c r="C6" s="136" t="str">
        <x:v>COMPLETADO</x:v>
      </x:c>
    </x:row>
    <x:row r="7" ht="45" customHeight="1">
      <x:c r="A7" s="136" t="str">
        <x:v>SNHT absoluto COCO EL</x:v>
      </x:c>
      <x:c r="B7" s="136" t="str">
        <x:v>Cambio en junio de 1997, p empírico 0,001 en análisis inicial.</x:v>
      </x:c>
      <x:c r="C7" s="136" t="str">
        <x:v>COMPLETADO</x:v>
      </x:c>
    </x:row>
    <x:row r="8" ht="45" customHeight="1">
      <x:c r="A8" s="136" t="str">
        <x:v>Comparación IDEAM vecinas</x:v>
      </x:c>
      <x:c r="B8" s="136" t="str">
        <x:v>2 series de lluvia, 402 meses comparables en intervalos disjuntos (111 + 291).</x:v>
      </x:c>
      <x:c r="C8" s="136" t="str">
        <x:v>COMPLETADO PARCIAL</x:v>
      </x:c>
    </x:row>
    <x:row r="9" ht="45" customHeight="1">
      <x:c r="A9" s="136" t="str">
        <x:v>SNHT relativo IDEAM</x:v>
      </x:c>
      <x:c r="B9" s="136" t="str">
        <x:v>La Florida p=0,080 en 1985–1995 y Granja Mira p=0,095 en 2000–2025 (periodos separados).</x:v>
      </x:c>
      <x:c r="C9" s="136" t="str">
        <x:v>COMPLETADO PARCIAL</x:v>
      </x:c>
    </x:row>
    <x:row r="10" ht="45" customHeight="1">
      <x:c r="A10" s="136" t="str">
        <x:v>Validación específica de 1997</x:v>
      </x:c>
      <x:c r="B10" s="136" t="str">
        <x:v>Ninguna referencia enviada dispone de observaciones antes y después de junio de 1997.</x:v>
      </x:c>
      <x:c r="C10" s="136" t="str">
        <x:v>PENDIENTE</x:v>
      </x:c>
    </x:row>
    <x:row r="11" ht="45" customHeight="1">
      <x:c r="A11" s="136" t="str">
        <x:v>Evaluación de metadatos</x:v>
      </x:c>
      <x:c r="B11" s="136" t="str">
        <x:v>No contamos con cronología de traslados, cambio de pluviómetros o observadores de COCO EL.</x:v>
      </x:c>
      <x:c r="C11" s="136" t="str">
        <x:v>PENDIENTE</x:v>
      </x:c>
    </x:row>
    <x:row r="12" ht="45" customHeight="1">
      <x:c r="A12" s="136" t="str">
        <x:v>Siguiente estación candidata</x:v>
      </x:c>
      <x:c r="B12" s="136" t="str">
        <x:v>Consultar registro DHIME de Granja El Mira histórica [51025010] en 1994–2001 (diferente de AUT 51025090).</x:v>
      </x:c>
      <x:c r="C12" s="136" t="str">
        <x:v>RECOMENDADO</x:v>
      </x:c>
    </x:row>
    <x:row r="13" ht="45" customHeight="1">
      <x:c r="A13" s="136" t="str">
        <x:v>Otras estaciones candidatas</x:v>
      </x:c>
      <x:c r="B13" s="136" t="str">
        <x:v>Considerar MATAJE [51020040] y GUAYACANA LA [51020050], si están disponibles 1994–2001.</x:v>
      </x:c>
      <x:c r="C13" s="136" t="str">
        <x:v>RECOMENDADO</x:v>
      </x:c>
    </x:row>
    <x:row r="14" ht="45" customHeight="1">
      <x:c r="A14" s="136" t="str">
        <x:v>Cierre A1</x:v>
      </x:c>
      <x:c r="B14" s="136" t="str">
        <x:v>Sin una referencia que cruce 1997 y sus metadatos no se puede aprobar homogeneidad definitiva.</x:v>
      </x:c>
      <x:c r="C14" s="136" t="str">
        <x:v>PENDIENTE</x:v>
      </x:c>
    </x:row>
    <x:row r="16" ht="32" customHeight="1">
      <x:c r="A16" s="142" t="str">
        <x:v>NOTA: Un p ≥0,05 NO demuestra homogeneidad; solo indica que la prueba no encontró evidencia suficiente en su ventana de análisis.</x:v>
      </x:c>
      <x:c r="B16" s="142"/>
      <x:c r="C16" s="142"/>
      <x:c r="D16" s="142"/>
      <x:c r="E16" s="142"/>
      <x:c r="F16" s="142"/>
      <x:c r="G16" s="142"/>
      <x:c r="H16" s="142"/>
      <x:c r="I16" s="142"/>
    </x:row>
    <x:row r="18" ht="22" customHeight="1">
      <x:c r="A18" s="146" t="str">
        <x:v>Fuente geográfica: https://corponarino.gov.co/wp-content/uploads/2024/09/2.-COMPONENTE-CLIMA.pdf</x:v>
      </x:c>
      <x:c r="B18" s="146"/>
      <x:c r="C18" s="146"/>
      <x:c r="D18" s="146"/>
      <x:c r="E18" s="146"/>
      <x:c r="F18" s="146"/>
      <x:c r="G18" s="146"/>
      <x:c r="H18" s="146"/>
      <x:c r="I18" s="146"/>
    </x:row>
    <x:row r="19" ht="22" customHeight="1">
      <x:c r="A19" s="146" t="str">
        <x:v>Catálogo IDEAM: https://www.ideam.gov.co/transparencia/datos-abiertos/seccion-de-datos-abiertos/catalogo-nacional-de-estaciones-del-ideam</x:v>
      </x:c>
      <x:c r="B19" s="146"/>
      <x:c r="C19" s="146"/>
      <x:c r="D19" s="146"/>
      <x:c r="E19" s="146"/>
      <x:c r="F19" s="146"/>
      <x:c r="G19" s="146"/>
      <x:c r="H19" s="146"/>
      <x:c r="I19" s="146"/>
    </x:row>
  </x:sheetData>
  <x:mergeCells>
    <x:mergeCell ref="A1:I2"/>
    <x:mergeCell ref="A16:I16"/>
    <x:mergeCell ref="A18:I18"/>
    <x:mergeCell ref="A19:I19"/>
  </x:mergeCells>
  <x:pageMargins left="0.7" right="0.7" top="0.75" bottom="0.75" header="0.3" footer="0.3"/>
</x:worksheet>
</file>